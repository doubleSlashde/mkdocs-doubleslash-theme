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ReCode\mcp_harbor\ki-based-pm-blueprints\docs\projektmanagement\12-dashboard-und-tools\"/>
    </mc:Choice>
  </mc:AlternateContent>
  <xr:revisionPtr revIDLastSave="0" documentId="13_ncr:1_{6FC38D95-4497-4508-85D8-FFCC77E75EBD}" xr6:coauthVersionLast="47" xr6:coauthVersionMax="47" xr10:uidLastSave="{00000000-0000-0000-0000-000000000000}"/>
  <bookViews>
    <workbookView xWindow="-120" yWindow="-120" windowWidth="29040" windowHeight="17520" activeTab="1" xr2:uid="{A06D67EF-F06B-4886-A893-330138F394D9}"/>
  </bookViews>
  <sheets>
    <sheet name="HowTo" sheetId="11" r:id="rId1"/>
    <sheet name="Erfüllungsgrad" sheetId="6" r:id="rId2"/>
    <sheet name="PLAN Stand" sheetId="1" r:id="rId3"/>
    <sheet name="IST Stand &lt;Datum&gt;" sheetId="16" r:id="rId4"/>
  </sheets>
  <definedNames>
    <definedName name="_xlnm._FilterDatabase" localSheetId="3" hidden="1">'IST Stand &lt;Datum&gt;'!$A$1:$F$36</definedName>
    <definedName name="_xlnm._FilterDatabase" localSheetId="2" hidden="1">'PLAN Stand'!$A$1:$E$36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6" l="1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CM51" i="6"/>
  <c r="CN51" i="6"/>
  <c r="CO51" i="6"/>
  <c r="CP51" i="6"/>
  <c r="CQ51" i="6"/>
  <c r="CR51" i="6"/>
  <c r="CS51" i="6"/>
  <c r="CT51" i="6"/>
  <c r="CU51" i="6"/>
  <c r="CV51" i="6"/>
  <c r="CW51" i="6"/>
  <c r="CX51" i="6"/>
  <c r="CY51" i="6"/>
  <c r="C36" i="6"/>
  <c r="C34" i="6"/>
  <c r="C32" i="6"/>
  <c r="C35" i="6"/>
  <c r="C33" i="6"/>
  <c r="C7" i="6" l="1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D30" i="16" l="1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BR47" i="6"/>
  <c r="CX16" i="6"/>
  <c r="AX47" i="6"/>
  <c r="CQ16" i="6"/>
  <c r="M47" i="6"/>
  <c r="G39" i="6"/>
  <c r="AG47" i="6"/>
  <c r="CP39" i="6"/>
  <c r="AV47" i="6"/>
  <c r="BA47" i="6"/>
  <c r="BQ39" i="6"/>
  <c r="AE16" i="6"/>
  <c r="AS47" i="6"/>
  <c r="AJ39" i="6"/>
  <c r="AQ47" i="6"/>
  <c r="D47" i="6"/>
  <c r="AK47" i="6"/>
  <c r="BA16" i="6"/>
  <c r="CR47" i="6"/>
  <c r="AO47" i="6"/>
  <c r="P39" i="6"/>
  <c r="AO16" i="6"/>
  <c r="CI16" i="6"/>
  <c r="AW47" i="6"/>
  <c r="AP16" i="6"/>
  <c r="BT16" i="6"/>
  <c r="CY16" i="6"/>
  <c r="CU16" i="6"/>
  <c r="BH47" i="6"/>
  <c r="BE16" i="6"/>
  <c r="CE47" i="6"/>
  <c r="CG39" i="6"/>
  <c r="Z39" i="6"/>
  <c r="Y47" i="6"/>
  <c r="CX39" i="6"/>
  <c r="AS16" i="6"/>
  <c r="CO16" i="6"/>
  <c r="BH39" i="6"/>
  <c r="BE39" i="6"/>
  <c r="AZ47" i="6"/>
  <c r="CJ39" i="6"/>
  <c r="Q47" i="6"/>
  <c r="AB39" i="6"/>
  <c r="BX16" i="6"/>
  <c r="AU16" i="6"/>
  <c r="AO39" i="6"/>
  <c r="AM47" i="6"/>
  <c r="BJ39" i="6"/>
  <c r="V16" i="6"/>
  <c r="D16" i="6"/>
  <c r="CW39" i="6"/>
  <c r="Y39" i="6"/>
  <c r="AR39" i="6"/>
  <c r="CD39" i="6"/>
  <c r="BB47" i="6"/>
  <c r="AN39" i="6"/>
  <c r="F39" i="6"/>
  <c r="BG47" i="6"/>
  <c r="CC47" i="6"/>
  <c r="CV39" i="6"/>
  <c r="BF39" i="6"/>
  <c r="AA47" i="6"/>
  <c r="AL39" i="6"/>
  <c r="CI47" i="6"/>
  <c r="AD16" i="6"/>
  <c r="CD16" i="6"/>
  <c r="CT47" i="6"/>
  <c r="AZ39" i="6"/>
  <c r="W39" i="6"/>
  <c r="BS47" i="6"/>
  <c r="F16" i="6"/>
  <c r="M39" i="6"/>
  <c r="BI16" i="6"/>
  <c r="BZ47" i="6"/>
  <c r="L39" i="6"/>
  <c r="CM47" i="6"/>
  <c r="BG16" i="6"/>
  <c r="D39" i="6"/>
  <c r="CG16" i="6"/>
  <c r="R47" i="6"/>
  <c r="BY16" i="6"/>
  <c r="AF16" i="6"/>
  <c r="AP39" i="6"/>
  <c r="CB47" i="6"/>
  <c r="BU16" i="6"/>
  <c r="BD16" i="6"/>
  <c r="CE39" i="6"/>
  <c r="AP47" i="6"/>
  <c r="AH16" i="6"/>
  <c r="AR47" i="6"/>
  <c r="AH39" i="6"/>
  <c r="O16" i="6"/>
  <c r="BP47" i="6"/>
  <c r="CJ16" i="6"/>
  <c r="CR16" i="6"/>
  <c r="CK39" i="6"/>
  <c r="BC16" i="6"/>
  <c r="BP39" i="6"/>
  <c r="BH16" i="6"/>
  <c r="CP16" i="6"/>
  <c r="BK16" i="6"/>
  <c r="BQ16" i="6"/>
  <c r="T39" i="6"/>
  <c r="H16" i="6"/>
  <c r="AI16" i="6"/>
  <c r="BD47" i="6"/>
  <c r="CP47" i="6"/>
  <c r="CC16" i="6"/>
  <c r="X16" i="6"/>
  <c r="M16" i="6"/>
  <c r="AC16" i="6"/>
  <c r="E47" i="6"/>
  <c r="BX39" i="6"/>
  <c r="CM16" i="6"/>
  <c r="BV16" i="6"/>
  <c r="BT47" i="6"/>
  <c r="CJ47" i="6"/>
  <c r="BW47" i="6"/>
  <c r="BY39" i="6"/>
  <c r="AE47" i="6"/>
  <c r="U47" i="6"/>
  <c r="X39" i="6"/>
  <c r="CL16" i="6"/>
  <c r="V47" i="6"/>
  <c r="AF39" i="6"/>
  <c r="O39" i="6"/>
  <c r="AB16" i="6"/>
  <c r="BL16" i="6"/>
  <c r="AN47" i="6"/>
  <c r="CQ47" i="6"/>
  <c r="AY47" i="6"/>
  <c r="CY47" i="6"/>
  <c r="BB39" i="6"/>
  <c r="AB47" i="6"/>
  <c r="N39" i="6"/>
  <c r="BN39" i="6"/>
  <c r="AI39" i="6"/>
  <c r="U16" i="6"/>
  <c r="CN47" i="6"/>
  <c r="CW47" i="6"/>
  <c r="AM16" i="6"/>
  <c r="CS47" i="6"/>
  <c r="CR39" i="6"/>
  <c r="F47" i="6"/>
  <c r="CG47" i="6"/>
  <c r="CM39" i="6"/>
  <c r="BK39" i="6"/>
  <c r="BM39" i="6"/>
  <c r="AX16" i="6"/>
  <c r="AK16" i="6"/>
  <c r="CV47" i="6"/>
  <c r="AQ39" i="6"/>
  <c r="O47" i="6"/>
  <c r="BR39" i="6"/>
  <c r="CE16" i="6"/>
  <c r="BK47" i="6"/>
  <c r="BV47" i="6"/>
  <c r="AU47" i="6"/>
  <c r="L16" i="6"/>
  <c r="AG16" i="6"/>
  <c r="CL39" i="6"/>
  <c r="P16" i="6"/>
  <c r="AJ16" i="6"/>
  <c r="H47" i="6"/>
  <c r="CL47" i="6"/>
  <c r="BS16" i="6"/>
  <c r="BZ16" i="6"/>
  <c r="N47" i="6"/>
  <c r="R39" i="6"/>
  <c r="E16" i="6"/>
  <c r="AV39" i="6"/>
  <c r="CC39" i="6"/>
  <c r="BQ47" i="6"/>
  <c r="AE39" i="6"/>
  <c r="Y16" i="6"/>
  <c r="S16" i="6"/>
  <c r="BC39" i="6"/>
  <c r="S47" i="6"/>
  <c r="BU39" i="6"/>
  <c r="Z47" i="6"/>
  <c r="BO47" i="6"/>
  <c r="AL47" i="6"/>
  <c r="AT16" i="6"/>
  <c r="CN39" i="6"/>
  <c r="BN47" i="6"/>
  <c r="AL16" i="6"/>
  <c r="CQ39" i="6"/>
  <c r="CY39" i="6"/>
  <c r="BO16" i="6"/>
  <c r="BF47" i="6"/>
  <c r="CH16" i="6"/>
  <c r="BJ47" i="6"/>
  <c r="BP16" i="6"/>
  <c r="CK16" i="6"/>
  <c r="CB16" i="6"/>
  <c r="CA47" i="6"/>
  <c r="CU39" i="6"/>
  <c r="CT16" i="6"/>
  <c r="AD47" i="6"/>
  <c r="BA39" i="6"/>
  <c r="BO39" i="6"/>
  <c r="AT39" i="6"/>
  <c r="AD39" i="6"/>
  <c r="CI39" i="6"/>
  <c r="AK39" i="6"/>
  <c r="AG39" i="6"/>
  <c r="E39" i="6"/>
  <c r="CO39" i="6"/>
  <c r="BX47" i="6"/>
  <c r="AA16" i="6"/>
  <c r="CK47" i="6"/>
  <c r="AN16" i="6"/>
  <c r="P47" i="6"/>
  <c r="CO47" i="6"/>
  <c r="T16" i="6"/>
  <c r="Q16" i="6"/>
  <c r="BF16" i="6"/>
  <c r="BW16" i="6"/>
  <c r="CS16" i="6"/>
  <c r="AC39" i="6"/>
  <c r="CD47" i="6"/>
  <c r="BY47" i="6"/>
  <c r="G47" i="6"/>
  <c r="BL47" i="6"/>
  <c r="AT47" i="6"/>
  <c r="Z16" i="6"/>
  <c r="AC47" i="6"/>
  <c r="BT39" i="6"/>
  <c r="BN16" i="6"/>
  <c r="L47" i="6"/>
  <c r="BS39" i="6"/>
  <c r="CF16" i="6"/>
  <c r="CN16" i="6"/>
  <c r="CX47" i="6"/>
  <c r="CH47" i="6"/>
  <c r="BI39" i="6"/>
  <c r="BM16" i="6"/>
  <c r="AJ47" i="6"/>
  <c r="AY16" i="6"/>
  <c r="AS39" i="6"/>
  <c r="AY39" i="6"/>
  <c r="CT39" i="6"/>
  <c r="BV39" i="6"/>
  <c r="AH47" i="6"/>
  <c r="V39" i="6"/>
  <c r="G16" i="6"/>
  <c r="CF39" i="6"/>
  <c r="BC47" i="6"/>
  <c r="CU47" i="6"/>
  <c r="H39" i="6"/>
  <c r="BZ39" i="6"/>
  <c r="AZ16" i="6"/>
  <c r="AA39" i="6"/>
  <c r="S39" i="6"/>
  <c r="AV16" i="6"/>
  <c r="BE47" i="6"/>
  <c r="AI47" i="6"/>
  <c r="AM39" i="6"/>
  <c r="AW16" i="6"/>
  <c r="BL39" i="6"/>
  <c r="T47" i="6"/>
  <c r="BU47" i="6"/>
  <c r="CA39" i="6"/>
  <c r="R16" i="6"/>
  <c r="BI47" i="6"/>
  <c r="CS39" i="6"/>
  <c r="AQ16" i="6"/>
  <c r="CW16" i="6"/>
  <c r="W47" i="6"/>
  <c r="CA16" i="6"/>
  <c r="AU39" i="6"/>
  <c r="AW39" i="6"/>
  <c r="N16" i="6"/>
  <c r="BB16" i="6"/>
  <c r="BW39" i="6"/>
  <c r="BJ16" i="6"/>
  <c r="BM47" i="6"/>
  <c r="U39" i="6"/>
  <c r="AX39" i="6"/>
  <c r="BD39" i="6"/>
  <c r="CF47" i="6"/>
  <c r="AF47" i="6"/>
  <c r="AR16" i="6"/>
  <c r="CB39" i="6"/>
  <c r="W16" i="6"/>
  <c r="BG39" i="6"/>
  <c r="CV16" i="6"/>
  <c r="BR16" i="6"/>
  <c r="Q39" i="6"/>
  <c r="CH39" i="6"/>
  <c r="X47" i="6"/>
  <c r="AA23" i="6" l="1"/>
  <c r="AA28" i="6"/>
  <c r="AA24" i="6"/>
  <c r="AA25" i="6"/>
  <c r="AA30" i="6"/>
  <c r="AA19" i="6"/>
  <c r="AA22" i="6"/>
  <c r="AA40" i="6"/>
  <c r="AA26" i="6"/>
  <c r="AA29" i="6"/>
  <c r="AA20" i="6"/>
  <c r="AA27" i="6"/>
  <c r="AA17" i="6"/>
  <c r="AA31" i="6"/>
  <c r="AA21" i="6"/>
  <c r="AA41" i="6"/>
  <c r="AA42" i="6"/>
  <c r="AA18" i="6"/>
  <c r="CX31" i="6"/>
  <c r="CX29" i="6"/>
  <c r="CX17" i="6"/>
  <c r="CX20" i="6"/>
  <c r="CX19" i="6"/>
  <c r="CX21" i="6"/>
  <c r="CX24" i="6"/>
  <c r="CX27" i="6"/>
  <c r="CX25" i="6"/>
  <c r="CX18" i="6"/>
  <c r="CX30" i="6"/>
  <c r="CX26" i="6"/>
  <c r="CX22" i="6"/>
  <c r="CX42" i="6"/>
  <c r="CX23" i="6"/>
  <c r="CX41" i="6"/>
  <c r="CX28" i="6"/>
  <c r="CX40" i="6"/>
  <c r="E27" i="6"/>
  <c r="E26" i="6"/>
  <c r="E23" i="6"/>
  <c r="E22" i="6"/>
  <c r="E20" i="6"/>
  <c r="E19" i="6"/>
  <c r="E40" i="6"/>
  <c r="E18" i="6"/>
  <c r="E25" i="6"/>
  <c r="E29" i="6"/>
  <c r="E30" i="6"/>
  <c r="E17" i="6"/>
  <c r="E31" i="6"/>
  <c r="E28" i="6"/>
  <c r="E41" i="6"/>
  <c r="E21" i="6"/>
  <c r="E24" i="6"/>
  <c r="E42" i="6"/>
  <c r="AH26" i="6"/>
  <c r="AH17" i="6"/>
  <c r="AH27" i="6"/>
  <c r="AH24" i="6"/>
  <c r="AH23" i="6"/>
  <c r="AH29" i="6"/>
  <c r="AH21" i="6"/>
  <c r="AH20" i="6"/>
  <c r="AH25" i="6"/>
  <c r="AH41" i="6"/>
  <c r="AH18" i="6"/>
  <c r="AH42" i="6"/>
  <c r="AH19" i="6"/>
  <c r="AH22" i="6"/>
  <c r="AH40" i="6"/>
  <c r="AH28" i="6"/>
  <c r="AH31" i="6"/>
  <c r="AH30" i="6"/>
  <c r="BM30" i="6"/>
  <c r="BM17" i="6"/>
  <c r="BM18" i="6"/>
  <c r="BM23" i="6"/>
  <c r="BM24" i="6"/>
  <c r="BM31" i="6"/>
  <c r="BM28" i="6"/>
  <c r="BM26" i="6"/>
  <c r="BM25" i="6"/>
  <c r="BM27" i="6"/>
  <c r="BM29" i="6"/>
  <c r="BM41" i="6"/>
  <c r="BM40" i="6"/>
  <c r="BM21" i="6"/>
  <c r="BM19" i="6"/>
  <c r="BM20" i="6"/>
  <c r="BM22" i="6"/>
  <c r="BM42" i="6"/>
  <c r="BW31" i="6"/>
  <c r="BW30" i="6"/>
  <c r="BW21" i="6"/>
  <c r="BW19" i="6"/>
  <c r="BW17" i="6"/>
  <c r="BW22" i="6"/>
  <c r="BW26" i="6"/>
  <c r="BW29" i="6"/>
  <c r="BW42" i="6"/>
  <c r="BW41" i="6"/>
  <c r="BW40" i="6"/>
  <c r="BW25" i="6"/>
  <c r="BW18" i="6"/>
  <c r="BW20" i="6"/>
  <c r="BW27" i="6"/>
  <c r="BW24" i="6"/>
  <c r="BW28" i="6"/>
  <c r="BW23" i="6"/>
  <c r="M29" i="6"/>
  <c r="M17" i="6"/>
  <c r="M21" i="6"/>
  <c r="M19" i="6"/>
  <c r="M26" i="6"/>
  <c r="M24" i="6"/>
  <c r="M30" i="6"/>
  <c r="M22" i="6"/>
  <c r="M25" i="6"/>
  <c r="M27" i="6"/>
  <c r="M31" i="6"/>
  <c r="M42" i="6"/>
  <c r="M41" i="6"/>
  <c r="M20" i="6"/>
  <c r="M40" i="6"/>
  <c r="M28" i="6"/>
  <c r="M18" i="6"/>
  <c r="M23" i="6"/>
  <c r="BY23" i="6"/>
  <c r="BY30" i="6"/>
  <c r="BY28" i="6"/>
  <c r="BY29" i="6"/>
  <c r="BY17" i="6"/>
  <c r="BY20" i="6"/>
  <c r="BY19" i="6"/>
  <c r="BY22" i="6"/>
  <c r="BY18" i="6"/>
  <c r="BY21" i="6"/>
  <c r="BY24" i="6"/>
  <c r="BY27" i="6"/>
  <c r="BY42" i="6"/>
  <c r="BY25" i="6"/>
  <c r="BY41" i="6"/>
  <c r="BY31" i="6"/>
  <c r="BY40" i="6"/>
  <c r="BY26" i="6"/>
  <c r="AU28" i="6"/>
  <c r="AU19" i="6"/>
  <c r="AU18" i="6"/>
  <c r="AU21" i="6"/>
  <c r="AU24" i="6"/>
  <c r="AU25" i="6"/>
  <c r="AU27" i="6"/>
  <c r="AU30" i="6"/>
  <c r="AU17" i="6"/>
  <c r="AU20" i="6"/>
  <c r="AU42" i="6"/>
  <c r="AU23" i="6"/>
  <c r="AU41" i="6"/>
  <c r="AU29" i="6"/>
  <c r="AU40" i="6"/>
  <c r="AU26" i="6"/>
  <c r="AU31" i="6"/>
  <c r="AU22" i="6"/>
  <c r="BE30" i="6"/>
  <c r="BE28" i="6"/>
  <c r="BE19" i="6"/>
  <c r="BE17" i="6"/>
  <c r="BE23" i="6"/>
  <c r="BE24" i="6"/>
  <c r="BE20" i="6"/>
  <c r="BE31" i="6"/>
  <c r="BE42" i="6"/>
  <c r="BE41" i="6"/>
  <c r="BE40" i="6"/>
  <c r="BE21" i="6"/>
  <c r="BE18" i="6"/>
  <c r="BE29" i="6"/>
  <c r="BE25" i="6"/>
  <c r="BE26" i="6"/>
  <c r="BE22" i="6"/>
  <c r="BE27" i="6"/>
  <c r="P24" i="6"/>
  <c r="P27" i="6"/>
  <c r="P19" i="6"/>
  <c r="P17" i="6"/>
  <c r="P21" i="6"/>
  <c r="P18" i="6"/>
  <c r="P26" i="6"/>
  <c r="P29" i="6"/>
  <c r="P20" i="6"/>
  <c r="P28" i="6"/>
  <c r="P22" i="6"/>
  <c r="P30" i="6"/>
  <c r="P23" i="6"/>
  <c r="P25" i="6"/>
  <c r="P40" i="6"/>
  <c r="P31" i="6"/>
  <c r="P41" i="6"/>
  <c r="P42" i="6"/>
  <c r="BJ19" i="6"/>
  <c r="BJ25" i="6"/>
  <c r="BJ26" i="6"/>
  <c r="BJ27" i="6"/>
  <c r="BJ28" i="6"/>
  <c r="BJ31" i="6"/>
  <c r="BJ20" i="6"/>
  <c r="BJ17" i="6"/>
  <c r="BJ21" i="6"/>
  <c r="BJ22" i="6"/>
  <c r="BJ42" i="6"/>
  <c r="BJ23" i="6"/>
  <c r="BJ41" i="6"/>
  <c r="BJ24" i="6"/>
  <c r="BJ40" i="6"/>
  <c r="BJ29" i="6"/>
  <c r="BJ18" i="6"/>
  <c r="BJ30" i="6"/>
  <c r="AW27" i="6"/>
  <c r="AW30" i="6"/>
  <c r="AW21" i="6"/>
  <c r="AW19" i="6"/>
  <c r="AW18" i="6"/>
  <c r="AW23" i="6"/>
  <c r="AW26" i="6"/>
  <c r="AW22" i="6"/>
  <c r="AW20" i="6"/>
  <c r="AW24" i="6"/>
  <c r="AW25" i="6"/>
  <c r="AW28" i="6"/>
  <c r="AW29" i="6"/>
  <c r="AW42" i="6"/>
  <c r="AW41" i="6"/>
  <c r="AW40" i="6"/>
  <c r="AW17" i="6"/>
  <c r="AW31" i="6"/>
  <c r="BZ22" i="6"/>
  <c r="BZ23" i="6"/>
  <c r="BZ27" i="6"/>
  <c r="BZ28" i="6"/>
  <c r="BZ31" i="6"/>
  <c r="BZ30" i="6"/>
  <c r="BZ20" i="6"/>
  <c r="BZ19" i="6"/>
  <c r="BZ17" i="6"/>
  <c r="BZ18" i="6"/>
  <c r="BZ25" i="6"/>
  <c r="BZ24" i="6"/>
  <c r="BZ26" i="6"/>
  <c r="BZ29" i="6"/>
  <c r="BZ41" i="6"/>
  <c r="BZ21" i="6"/>
  <c r="BZ42" i="6"/>
  <c r="BZ40" i="6"/>
  <c r="AI23" i="6"/>
  <c r="AI28" i="6"/>
  <c r="AI27" i="6"/>
  <c r="AI24" i="6"/>
  <c r="AI18" i="6"/>
  <c r="AI20" i="6"/>
  <c r="AI17" i="6"/>
  <c r="AI21" i="6"/>
  <c r="AI19" i="6"/>
  <c r="AI42" i="6"/>
  <c r="AI22" i="6"/>
  <c r="AI41" i="6"/>
  <c r="AI25" i="6"/>
  <c r="AI29" i="6"/>
  <c r="AI31" i="6"/>
  <c r="AI30" i="6"/>
  <c r="AI26" i="6"/>
  <c r="AI40" i="6"/>
  <c r="Z20" i="6"/>
  <c r="Z23" i="6"/>
  <c r="Z31" i="6"/>
  <c r="Z24" i="6"/>
  <c r="Z27" i="6"/>
  <c r="Z30" i="6"/>
  <c r="Z18" i="6"/>
  <c r="Z19" i="6"/>
  <c r="Z21" i="6"/>
  <c r="Z22" i="6"/>
  <c r="Z26" i="6"/>
  <c r="Z28" i="6"/>
  <c r="Z25" i="6"/>
  <c r="Z29" i="6"/>
  <c r="Z42" i="6"/>
  <c r="Z41" i="6"/>
  <c r="Z40" i="6"/>
  <c r="Z17" i="6"/>
  <c r="BR21" i="6"/>
  <c r="BR22" i="6"/>
  <c r="BR28" i="6"/>
  <c r="BR24" i="6"/>
  <c r="BR26" i="6"/>
  <c r="BR29" i="6"/>
  <c r="BR17" i="6"/>
  <c r="BR18" i="6"/>
  <c r="BR31" i="6"/>
  <c r="BR25" i="6"/>
  <c r="BR40" i="6"/>
  <c r="BR20" i="6"/>
  <c r="BR42" i="6"/>
  <c r="BR19" i="6"/>
  <c r="BR41" i="6"/>
  <c r="BR27" i="6"/>
  <c r="BR23" i="6"/>
  <c r="BR30" i="6"/>
  <c r="CN22" i="6"/>
  <c r="CN19" i="6"/>
  <c r="CN23" i="6"/>
  <c r="CN29" i="6"/>
  <c r="CN25" i="6"/>
  <c r="CN31" i="6"/>
  <c r="CN20" i="6"/>
  <c r="CN21" i="6"/>
  <c r="CN27" i="6"/>
  <c r="CN24" i="6"/>
  <c r="CN26" i="6"/>
  <c r="CN18" i="6"/>
  <c r="CN30" i="6"/>
  <c r="CN42" i="6"/>
  <c r="CN40" i="6"/>
  <c r="CN41" i="6"/>
  <c r="CN17" i="6"/>
  <c r="CN28" i="6"/>
  <c r="BN28" i="6"/>
  <c r="BN23" i="6"/>
  <c r="BN30" i="6"/>
  <c r="BN21" i="6"/>
  <c r="BN19" i="6"/>
  <c r="BN17" i="6"/>
  <c r="BN24" i="6"/>
  <c r="BN18" i="6"/>
  <c r="BN42" i="6"/>
  <c r="BN31" i="6"/>
  <c r="BN20" i="6"/>
  <c r="BN26" i="6"/>
  <c r="BN22" i="6"/>
  <c r="BN25" i="6"/>
  <c r="BN41" i="6"/>
  <c r="BN29" i="6"/>
  <c r="BN27" i="6"/>
  <c r="BN40" i="6"/>
  <c r="AX24" i="6"/>
  <c r="AX28" i="6"/>
  <c r="AX27" i="6"/>
  <c r="AX30" i="6"/>
  <c r="AX18" i="6"/>
  <c r="AX17" i="6"/>
  <c r="AX22" i="6"/>
  <c r="AX42" i="6"/>
  <c r="AX41" i="6"/>
  <c r="AX25" i="6"/>
  <c r="AX21" i="6"/>
  <c r="AX20" i="6"/>
  <c r="AX26" i="6"/>
  <c r="AX19" i="6"/>
  <c r="AX40" i="6"/>
  <c r="AX31" i="6"/>
  <c r="AX23" i="6"/>
  <c r="AX29" i="6"/>
  <c r="CL25" i="6"/>
  <c r="CL42" i="6"/>
  <c r="CL41" i="6"/>
  <c r="CL31" i="6"/>
  <c r="CL20" i="6"/>
  <c r="CL40" i="6"/>
  <c r="CL24" i="6"/>
  <c r="CL30" i="6"/>
  <c r="CL29" i="6"/>
  <c r="CL22" i="6"/>
  <c r="CL18" i="6"/>
  <c r="CL21" i="6"/>
  <c r="CL19" i="6"/>
  <c r="CL17" i="6"/>
  <c r="CL23" i="6"/>
  <c r="CL26" i="6"/>
  <c r="CL28" i="6"/>
  <c r="CL27" i="6"/>
  <c r="CV22" i="6"/>
  <c r="CV26" i="6"/>
  <c r="CV27" i="6"/>
  <c r="CV24" i="6"/>
  <c r="CV28" i="6"/>
  <c r="CV25" i="6"/>
  <c r="CV18" i="6"/>
  <c r="CV17" i="6"/>
  <c r="CV23" i="6"/>
  <c r="CV41" i="6"/>
  <c r="CV42" i="6"/>
  <c r="CV20" i="6"/>
  <c r="CV40" i="6"/>
  <c r="CV21" i="6"/>
  <c r="CV19" i="6"/>
  <c r="CV30" i="6"/>
  <c r="CV31" i="6"/>
  <c r="CV29" i="6"/>
  <c r="AR17" i="6"/>
  <c r="AR22" i="6"/>
  <c r="AR23" i="6"/>
  <c r="AR24" i="6"/>
  <c r="AR25" i="6"/>
  <c r="AR28" i="6"/>
  <c r="AR18" i="6"/>
  <c r="AR20" i="6"/>
  <c r="AR19" i="6"/>
  <c r="AR26" i="6"/>
  <c r="AR42" i="6"/>
  <c r="AR30" i="6"/>
  <c r="AR41" i="6"/>
  <c r="AR29" i="6"/>
  <c r="AR40" i="6"/>
  <c r="AR31" i="6"/>
  <c r="AR21" i="6"/>
  <c r="AR27" i="6"/>
  <c r="AT20" i="6"/>
  <c r="AT19" i="6"/>
  <c r="AT25" i="6"/>
  <c r="AT24" i="6"/>
  <c r="AT27" i="6"/>
  <c r="AT28" i="6"/>
  <c r="AT23" i="6"/>
  <c r="AT41" i="6"/>
  <c r="AT40" i="6"/>
  <c r="AT18" i="6"/>
  <c r="AT21" i="6"/>
  <c r="AT22" i="6"/>
  <c r="AT26" i="6"/>
  <c r="AT30" i="6"/>
  <c r="AT29" i="6"/>
  <c r="AT31" i="6"/>
  <c r="AT42" i="6"/>
  <c r="AT17" i="6"/>
  <c r="S17" i="6"/>
  <c r="S24" i="6"/>
  <c r="S29" i="6"/>
  <c r="S25" i="6"/>
  <c r="S31" i="6"/>
  <c r="S27" i="6"/>
  <c r="S21" i="6"/>
  <c r="S20" i="6"/>
  <c r="S18" i="6"/>
  <c r="S19" i="6"/>
  <c r="S26" i="6"/>
  <c r="S23" i="6"/>
  <c r="S28" i="6"/>
  <c r="S30" i="6"/>
  <c r="S41" i="6"/>
  <c r="S42" i="6"/>
  <c r="S40" i="6"/>
  <c r="S22" i="6"/>
  <c r="BV18" i="6"/>
  <c r="BV19" i="6"/>
  <c r="BV17" i="6"/>
  <c r="BV26" i="6"/>
  <c r="BV23" i="6"/>
  <c r="BV20" i="6"/>
  <c r="BV24" i="6"/>
  <c r="BV22" i="6"/>
  <c r="BV31" i="6"/>
  <c r="BV25" i="6"/>
  <c r="BV27" i="6"/>
  <c r="BV30" i="6"/>
  <c r="BV40" i="6"/>
  <c r="BV42" i="6"/>
  <c r="BV41" i="6"/>
  <c r="BV29" i="6"/>
  <c r="BV21" i="6"/>
  <c r="BV28" i="6"/>
  <c r="CE27" i="6"/>
  <c r="CE19" i="6"/>
  <c r="CE20" i="6"/>
  <c r="CE17" i="6"/>
  <c r="CE24" i="6"/>
  <c r="CE28" i="6"/>
  <c r="CE29" i="6"/>
  <c r="CE23" i="6"/>
  <c r="CE25" i="6"/>
  <c r="CE26" i="6"/>
  <c r="CE31" i="6"/>
  <c r="CE41" i="6"/>
  <c r="CE40" i="6"/>
  <c r="CE18" i="6"/>
  <c r="CE21" i="6"/>
  <c r="CE22" i="6"/>
  <c r="CE30" i="6"/>
  <c r="CE42" i="6"/>
  <c r="AD20" i="6"/>
  <c r="AD21" i="6"/>
  <c r="AD25" i="6"/>
  <c r="AD23" i="6"/>
  <c r="AD27" i="6"/>
  <c r="AD26" i="6"/>
  <c r="AD31" i="6"/>
  <c r="AD17" i="6"/>
  <c r="AD18" i="6"/>
  <c r="AD19" i="6"/>
  <c r="AD22" i="6"/>
  <c r="AD42" i="6"/>
  <c r="AD28" i="6"/>
  <c r="AD41" i="6"/>
  <c r="AD40" i="6"/>
  <c r="AD24" i="6"/>
  <c r="AD29" i="6"/>
  <c r="AD30" i="6"/>
  <c r="BQ25" i="6"/>
  <c r="BQ26" i="6"/>
  <c r="BQ31" i="6"/>
  <c r="BQ29" i="6"/>
  <c r="BQ17" i="6"/>
  <c r="BQ21" i="6"/>
  <c r="BQ22" i="6"/>
  <c r="BQ42" i="6"/>
  <c r="BQ41" i="6"/>
  <c r="BQ20" i="6"/>
  <c r="BQ24" i="6"/>
  <c r="BQ27" i="6"/>
  <c r="BQ18" i="6"/>
  <c r="BQ19" i="6"/>
  <c r="BQ23" i="6"/>
  <c r="BQ30" i="6"/>
  <c r="BQ28" i="6"/>
  <c r="BQ40" i="6"/>
  <c r="BP23" i="6"/>
  <c r="BP26" i="6"/>
  <c r="BP29" i="6"/>
  <c r="BP28" i="6"/>
  <c r="BP27" i="6"/>
  <c r="BP21" i="6"/>
  <c r="BP19" i="6"/>
  <c r="BP40" i="6"/>
  <c r="BP24" i="6"/>
  <c r="BP20" i="6"/>
  <c r="BP18" i="6"/>
  <c r="BP41" i="6"/>
  <c r="BP17" i="6"/>
  <c r="BP22" i="6"/>
  <c r="BP25" i="6"/>
  <c r="BP30" i="6"/>
  <c r="BP42" i="6"/>
  <c r="BP31" i="6"/>
  <c r="BI22" i="6"/>
  <c r="BI26" i="6"/>
  <c r="BI30" i="6"/>
  <c r="BI31" i="6"/>
  <c r="BI28" i="6"/>
  <c r="BI18" i="6"/>
  <c r="BI19" i="6"/>
  <c r="BI17" i="6"/>
  <c r="BI40" i="6"/>
  <c r="BI20" i="6"/>
  <c r="BI21" i="6"/>
  <c r="BI25" i="6"/>
  <c r="BI27" i="6"/>
  <c r="BI24" i="6"/>
  <c r="BI29" i="6"/>
  <c r="BI23" i="6"/>
  <c r="BI42" i="6"/>
  <c r="BI41" i="6"/>
  <c r="BH21" i="6"/>
  <c r="BH22" i="6"/>
  <c r="BH24" i="6"/>
  <c r="BH23" i="6"/>
  <c r="BH19" i="6"/>
  <c r="BH31" i="6"/>
  <c r="BH28" i="6"/>
  <c r="BH20" i="6"/>
  <c r="BH42" i="6"/>
  <c r="BH17" i="6"/>
  <c r="BH40" i="6"/>
  <c r="BH25" i="6"/>
  <c r="BH26" i="6"/>
  <c r="BH30" i="6"/>
  <c r="BH27" i="6"/>
  <c r="BH29" i="6"/>
  <c r="BH18" i="6"/>
  <c r="BH41" i="6"/>
  <c r="CT28" i="6"/>
  <c r="CT24" i="6"/>
  <c r="CT31" i="6"/>
  <c r="CT30" i="6"/>
  <c r="CT41" i="6"/>
  <c r="CT29" i="6"/>
  <c r="CT40" i="6"/>
  <c r="CT18" i="6"/>
  <c r="CT17" i="6"/>
  <c r="CT21" i="6"/>
  <c r="CT23" i="6"/>
  <c r="CT22" i="6"/>
  <c r="CT20" i="6"/>
  <c r="CT19" i="6"/>
  <c r="CT26" i="6"/>
  <c r="CT25" i="6"/>
  <c r="CT42" i="6"/>
  <c r="CT27" i="6"/>
  <c r="AZ24" i="6"/>
  <c r="AZ21" i="6"/>
  <c r="AZ17" i="6"/>
  <c r="AZ19" i="6"/>
  <c r="AZ26" i="6"/>
  <c r="AZ30" i="6"/>
  <c r="AZ31" i="6"/>
  <c r="AZ41" i="6"/>
  <c r="AZ20" i="6"/>
  <c r="AZ40" i="6"/>
  <c r="AZ18" i="6"/>
  <c r="AZ22" i="6"/>
  <c r="AZ29" i="6"/>
  <c r="AZ23" i="6"/>
  <c r="AZ25" i="6"/>
  <c r="AZ28" i="6"/>
  <c r="AZ27" i="6"/>
  <c r="AZ42" i="6"/>
  <c r="CA17" i="6"/>
  <c r="CA18" i="6"/>
  <c r="CA25" i="6"/>
  <c r="CA29" i="6"/>
  <c r="CA26" i="6"/>
  <c r="CA28" i="6"/>
  <c r="CA22" i="6"/>
  <c r="CA27" i="6"/>
  <c r="CA41" i="6"/>
  <c r="CA31" i="6"/>
  <c r="CA40" i="6"/>
  <c r="CA30" i="6"/>
  <c r="CA20" i="6"/>
  <c r="CA42" i="6"/>
  <c r="CA19" i="6"/>
  <c r="CA21" i="6"/>
  <c r="CA23" i="6"/>
  <c r="CA24" i="6"/>
  <c r="AQ23" i="6"/>
  <c r="AQ28" i="6"/>
  <c r="AQ31" i="6"/>
  <c r="AQ27" i="6"/>
  <c r="AQ18" i="6"/>
  <c r="AQ21" i="6"/>
  <c r="AQ17" i="6"/>
  <c r="AQ26" i="6"/>
  <c r="AQ42" i="6"/>
  <c r="AQ41" i="6"/>
  <c r="AQ40" i="6"/>
  <c r="AQ24" i="6"/>
  <c r="AQ29" i="6"/>
  <c r="AQ25" i="6"/>
  <c r="AQ30" i="6"/>
  <c r="AQ19" i="6"/>
  <c r="AQ20" i="6"/>
  <c r="AQ22" i="6"/>
  <c r="AN31" i="6"/>
  <c r="AN19" i="6"/>
  <c r="AN21" i="6"/>
  <c r="AN18" i="6"/>
  <c r="AN26" i="6"/>
  <c r="AN25" i="6"/>
  <c r="AN29" i="6"/>
  <c r="AN28" i="6"/>
  <c r="AN23" i="6"/>
  <c r="AN24" i="6"/>
  <c r="AN30" i="6"/>
  <c r="AN42" i="6"/>
  <c r="AN40" i="6"/>
  <c r="AN41" i="6"/>
  <c r="AN27" i="6"/>
  <c r="AN17" i="6"/>
  <c r="AN20" i="6"/>
  <c r="AN22" i="6"/>
  <c r="CM30" i="6"/>
  <c r="CM18" i="6"/>
  <c r="CM20" i="6"/>
  <c r="CM22" i="6"/>
  <c r="CM23" i="6"/>
  <c r="CM24" i="6"/>
  <c r="CM25" i="6"/>
  <c r="CM31" i="6"/>
  <c r="CM26" i="6"/>
  <c r="CM21" i="6"/>
  <c r="CM19" i="6"/>
  <c r="CM42" i="6"/>
  <c r="CM17" i="6"/>
  <c r="CM41" i="6"/>
  <c r="CM28" i="6"/>
  <c r="CM29" i="6"/>
  <c r="CM27" i="6"/>
  <c r="CM40" i="6"/>
  <c r="Q22" i="6"/>
  <c r="Q31" i="6"/>
  <c r="Q29" i="6"/>
  <c r="Q28" i="6"/>
  <c r="Q21" i="6"/>
  <c r="Q18" i="6"/>
  <c r="Q20" i="6"/>
  <c r="Q19" i="6"/>
  <c r="Q42" i="6"/>
  <c r="Q17" i="6"/>
  <c r="Q23" i="6"/>
  <c r="Q41" i="6"/>
  <c r="Q26" i="6"/>
  <c r="Q25" i="6"/>
  <c r="Q27" i="6"/>
  <c r="Q30" i="6"/>
  <c r="Q24" i="6"/>
  <c r="Q40" i="6"/>
  <c r="CC19" i="6"/>
  <c r="CC23" i="6"/>
  <c r="CC20" i="6"/>
  <c r="CC26" i="6"/>
  <c r="CC31" i="6"/>
  <c r="CC25" i="6"/>
  <c r="CC30" i="6"/>
  <c r="CC27" i="6"/>
  <c r="CC29" i="6"/>
  <c r="CC28" i="6"/>
  <c r="CC21" i="6"/>
  <c r="CC42" i="6"/>
  <c r="CC40" i="6"/>
  <c r="CC41" i="6"/>
  <c r="CC17" i="6"/>
  <c r="CC18" i="6"/>
  <c r="CC24" i="6"/>
  <c r="CC22" i="6"/>
  <c r="BT20" i="6"/>
  <c r="BT18" i="6"/>
  <c r="BT24" i="6"/>
  <c r="BT26" i="6"/>
  <c r="BT29" i="6"/>
  <c r="BT30" i="6"/>
  <c r="BT28" i="6"/>
  <c r="BT19" i="6"/>
  <c r="BT27" i="6"/>
  <c r="BT31" i="6"/>
  <c r="BT41" i="6"/>
  <c r="BT42" i="6"/>
  <c r="BT21" i="6"/>
  <c r="BT17" i="6"/>
  <c r="BT40" i="6"/>
  <c r="BT23" i="6"/>
  <c r="BT22" i="6"/>
  <c r="BT25" i="6"/>
  <c r="CD26" i="6"/>
  <c r="CD28" i="6"/>
  <c r="CD31" i="6"/>
  <c r="CD24" i="6"/>
  <c r="CD29" i="6"/>
  <c r="CD25" i="6"/>
  <c r="CD27" i="6"/>
  <c r="CD17" i="6"/>
  <c r="CD18" i="6"/>
  <c r="CD22" i="6"/>
  <c r="CD21" i="6"/>
  <c r="CD19" i="6"/>
  <c r="CD40" i="6"/>
  <c r="CD20" i="6"/>
  <c r="CD42" i="6"/>
  <c r="CD23" i="6"/>
  <c r="CD41" i="6"/>
  <c r="CD30" i="6"/>
  <c r="AP22" i="6"/>
  <c r="AP24" i="6"/>
  <c r="AP31" i="6"/>
  <c r="AP29" i="6"/>
  <c r="AP30" i="6"/>
  <c r="AP19" i="6"/>
  <c r="AP20" i="6"/>
  <c r="AP18" i="6"/>
  <c r="AP40" i="6"/>
  <c r="AP21" i="6"/>
  <c r="AP17" i="6"/>
  <c r="AP23" i="6"/>
  <c r="AP26" i="6"/>
  <c r="AP28" i="6"/>
  <c r="AP27" i="6"/>
  <c r="AP42" i="6"/>
  <c r="AP41" i="6"/>
  <c r="AP25" i="6"/>
  <c r="O31" i="6"/>
  <c r="O30" i="6"/>
  <c r="O17" i="6"/>
  <c r="O20" i="6"/>
  <c r="O21" i="6"/>
  <c r="O25" i="6"/>
  <c r="O29" i="6"/>
  <c r="O28" i="6"/>
  <c r="O42" i="6"/>
  <c r="O41" i="6"/>
  <c r="O40" i="6"/>
  <c r="O19" i="6"/>
  <c r="O18" i="6"/>
  <c r="O24" i="6"/>
  <c r="O23" i="6"/>
  <c r="O22" i="6"/>
  <c r="O26" i="6"/>
  <c r="O27" i="6"/>
  <c r="CG23" i="6"/>
  <c r="CG24" i="6"/>
  <c r="CG28" i="6"/>
  <c r="CG20" i="6"/>
  <c r="CG18" i="6"/>
  <c r="CG25" i="6"/>
  <c r="CG22" i="6"/>
  <c r="CG21" i="6"/>
  <c r="CG17" i="6"/>
  <c r="CG42" i="6"/>
  <c r="CG30" i="6"/>
  <c r="CG31" i="6"/>
  <c r="CG40" i="6"/>
  <c r="CG41" i="6"/>
  <c r="CG29" i="6"/>
  <c r="CG19" i="6"/>
  <c r="CG27" i="6"/>
  <c r="CG26" i="6"/>
  <c r="BL17" i="6"/>
  <c r="BL21" i="6"/>
  <c r="BL23" i="6"/>
  <c r="BL29" i="6"/>
  <c r="BL30" i="6"/>
  <c r="BL25" i="6"/>
  <c r="BL31" i="6"/>
  <c r="BL42" i="6"/>
  <c r="BL41" i="6"/>
  <c r="BL20" i="6"/>
  <c r="BL18" i="6"/>
  <c r="BL24" i="6"/>
  <c r="BL22" i="6"/>
  <c r="BL26" i="6"/>
  <c r="BL27" i="6"/>
  <c r="BL40" i="6"/>
  <c r="BL19" i="6"/>
  <c r="BL28" i="6"/>
  <c r="BO23" i="6"/>
  <c r="BO27" i="6"/>
  <c r="BO18" i="6"/>
  <c r="BO21" i="6"/>
  <c r="BO20" i="6"/>
  <c r="BO22" i="6"/>
  <c r="BO28" i="6"/>
  <c r="BO26" i="6"/>
  <c r="BO17" i="6"/>
  <c r="BO25" i="6"/>
  <c r="BO24" i="6"/>
  <c r="BO31" i="6"/>
  <c r="BO30" i="6"/>
  <c r="BO19" i="6"/>
  <c r="BO29" i="6"/>
  <c r="BO42" i="6"/>
  <c r="BO41" i="6"/>
  <c r="BO40" i="6"/>
  <c r="CF18" i="6"/>
  <c r="CF17" i="6"/>
  <c r="CF25" i="6"/>
  <c r="CF24" i="6"/>
  <c r="CF23" i="6"/>
  <c r="CF30" i="6"/>
  <c r="CF28" i="6"/>
  <c r="CF27" i="6"/>
  <c r="CF41" i="6"/>
  <c r="CF29" i="6"/>
  <c r="CF40" i="6"/>
  <c r="CF31" i="6"/>
  <c r="CF21" i="6"/>
  <c r="CF22" i="6"/>
  <c r="CF20" i="6"/>
  <c r="CF19" i="6"/>
  <c r="CF26" i="6"/>
  <c r="CF42" i="6"/>
  <c r="N28" i="6"/>
  <c r="N31" i="6"/>
  <c r="N17" i="6"/>
  <c r="N20" i="6"/>
  <c r="N19" i="6"/>
  <c r="N21" i="6"/>
  <c r="N23" i="6"/>
  <c r="N24" i="6"/>
  <c r="N22" i="6"/>
  <c r="N25" i="6"/>
  <c r="N26" i="6"/>
  <c r="N29" i="6"/>
  <c r="N30" i="6"/>
  <c r="N42" i="6"/>
  <c r="N41" i="6"/>
  <c r="N18" i="6"/>
  <c r="N40" i="6"/>
  <c r="N27" i="6"/>
  <c r="AG31" i="6"/>
  <c r="AG27" i="6"/>
  <c r="AG28" i="6"/>
  <c r="AG19" i="6"/>
  <c r="AG17" i="6"/>
  <c r="AG23" i="6"/>
  <c r="AG22" i="6"/>
  <c r="AG18" i="6"/>
  <c r="AG20" i="6"/>
  <c r="AG24" i="6"/>
  <c r="AG26" i="6"/>
  <c r="AG30" i="6"/>
  <c r="AG29" i="6"/>
  <c r="AG42" i="6"/>
  <c r="AG41" i="6"/>
  <c r="AG40" i="6"/>
  <c r="AG21" i="6"/>
  <c r="AG25" i="6"/>
  <c r="AM29" i="6"/>
  <c r="AM28" i="6"/>
  <c r="AM30" i="6"/>
  <c r="AM17" i="6"/>
  <c r="AM20" i="6"/>
  <c r="AM25" i="6"/>
  <c r="AM23" i="6"/>
  <c r="AM19" i="6"/>
  <c r="AM42" i="6"/>
  <c r="AM22" i="6"/>
  <c r="AM26" i="6"/>
  <c r="AM24" i="6"/>
  <c r="AM41" i="6"/>
  <c r="AM21" i="6"/>
  <c r="AM18" i="6"/>
  <c r="AM40" i="6"/>
  <c r="AM27" i="6"/>
  <c r="AM31" i="6"/>
  <c r="BC31" i="6"/>
  <c r="BC30" i="6"/>
  <c r="BC19" i="6"/>
  <c r="BC20" i="6"/>
  <c r="BC18" i="6"/>
  <c r="BC22" i="6"/>
  <c r="BC25" i="6"/>
  <c r="BC21" i="6"/>
  <c r="BC24" i="6"/>
  <c r="BC29" i="6"/>
  <c r="BC27" i="6"/>
  <c r="BC23" i="6"/>
  <c r="BC26" i="6"/>
  <c r="BC40" i="6"/>
  <c r="BC42" i="6"/>
  <c r="BC41" i="6"/>
  <c r="BC17" i="6"/>
  <c r="BC28" i="6"/>
  <c r="G20" i="6"/>
  <c r="G21" i="6"/>
  <c r="G25" i="6"/>
  <c r="G29" i="6"/>
  <c r="G23" i="6"/>
  <c r="G30" i="6"/>
  <c r="G27" i="6"/>
  <c r="G19" i="6"/>
  <c r="G28" i="6"/>
  <c r="G42" i="6"/>
  <c r="G31" i="6"/>
  <c r="G18" i="6"/>
  <c r="G22" i="6"/>
  <c r="G41" i="6"/>
  <c r="G17" i="6"/>
  <c r="G26" i="6"/>
  <c r="G24" i="6"/>
  <c r="G40" i="6"/>
  <c r="AC18" i="6"/>
  <c r="AC23" i="6"/>
  <c r="AC24" i="6"/>
  <c r="AC27" i="6"/>
  <c r="AC30" i="6"/>
  <c r="AC26" i="6"/>
  <c r="AC28" i="6"/>
  <c r="AC17" i="6"/>
  <c r="AC42" i="6"/>
  <c r="AC21" i="6"/>
  <c r="AC40" i="6"/>
  <c r="AC31" i="6"/>
  <c r="AC19" i="6"/>
  <c r="AC25" i="6"/>
  <c r="AC22" i="6"/>
  <c r="AC20" i="6"/>
  <c r="AC29" i="6"/>
  <c r="AC41" i="6"/>
  <c r="CP23" i="6"/>
  <c r="CP26" i="6"/>
  <c r="CP29" i="6"/>
  <c r="CP31" i="6"/>
  <c r="CP17" i="6"/>
  <c r="CP19" i="6"/>
  <c r="CP25" i="6"/>
  <c r="CP20" i="6"/>
  <c r="CP42" i="6"/>
  <c r="CP18" i="6"/>
  <c r="CP21" i="6"/>
  <c r="CP41" i="6"/>
  <c r="CP24" i="6"/>
  <c r="CP27" i="6"/>
  <c r="CP28" i="6"/>
  <c r="CP30" i="6"/>
  <c r="CP22" i="6"/>
  <c r="CP40" i="6"/>
  <c r="CS19" i="6"/>
  <c r="CS18" i="6"/>
  <c r="CS24" i="6"/>
  <c r="CS26" i="6"/>
  <c r="CS31" i="6"/>
  <c r="CS27" i="6"/>
  <c r="CS22" i="6"/>
  <c r="CS30" i="6"/>
  <c r="CS41" i="6"/>
  <c r="CS40" i="6"/>
  <c r="CS29" i="6"/>
  <c r="CS28" i="6"/>
  <c r="CS17" i="6"/>
  <c r="CS21" i="6"/>
  <c r="CS20" i="6"/>
  <c r="CS23" i="6"/>
  <c r="CS25" i="6"/>
  <c r="CS42" i="6"/>
  <c r="T20" i="6"/>
  <c r="T21" i="6"/>
  <c r="T19" i="6"/>
  <c r="T23" i="6"/>
  <c r="T24" i="6"/>
  <c r="T30" i="6"/>
  <c r="T29" i="6"/>
  <c r="T31" i="6"/>
  <c r="T18" i="6"/>
  <c r="T27" i="6"/>
  <c r="T17" i="6"/>
  <c r="T22" i="6"/>
  <c r="T25" i="6"/>
  <c r="T42" i="6"/>
  <c r="T28" i="6"/>
  <c r="T41" i="6"/>
  <c r="T40" i="6"/>
  <c r="T26" i="6"/>
  <c r="CR24" i="6"/>
  <c r="CR22" i="6"/>
  <c r="CR23" i="6"/>
  <c r="CR28" i="6"/>
  <c r="CR26" i="6"/>
  <c r="CR31" i="6"/>
  <c r="CR17" i="6"/>
  <c r="CR21" i="6"/>
  <c r="CR19" i="6"/>
  <c r="CR20" i="6"/>
  <c r="CR29" i="6"/>
  <c r="CR25" i="6"/>
  <c r="CR30" i="6"/>
  <c r="CR27" i="6"/>
  <c r="CR40" i="6"/>
  <c r="CR42" i="6"/>
  <c r="CR18" i="6"/>
  <c r="CR41" i="6"/>
  <c r="AJ30" i="6"/>
  <c r="AJ31" i="6"/>
  <c r="AJ28" i="6"/>
  <c r="AJ18" i="6"/>
  <c r="AJ21" i="6"/>
  <c r="AJ22" i="6"/>
  <c r="AJ26" i="6"/>
  <c r="AJ17" i="6"/>
  <c r="AJ19" i="6"/>
  <c r="AJ23" i="6"/>
  <c r="AJ25" i="6"/>
  <c r="AJ27" i="6"/>
  <c r="AJ29" i="6"/>
  <c r="AJ42" i="6"/>
  <c r="AJ41" i="6"/>
  <c r="AJ40" i="6"/>
  <c r="AJ24" i="6"/>
  <c r="AJ20" i="6"/>
  <c r="AF31" i="6"/>
  <c r="AF20" i="6"/>
  <c r="AF21" i="6"/>
  <c r="AF18" i="6"/>
  <c r="AF24" i="6"/>
  <c r="AF30" i="6"/>
  <c r="AF23" i="6"/>
  <c r="AF42" i="6"/>
  <c r="AF19" i="6"/>
  <c r="AF40" i="6"/>
  <c r="AF17" i="6"/>
  <c r="AF26" i="6"/>
  <c r="AF27" i="6"/>
  <c r="AF28" i="6"/>
  <c r="AF25" i="6"/>
  <c r="AF29" i="6"/>
  <c r="AF22" i="6"/>
  <c r="AF41" i="6"/>
  <c r="W29" i="6"/>
  <c r="W30" i="6"/>
  <c r="W23" i="6"/>
  <c r="W28" i="6"/>
  <c r="W19" i="6"/>
  <c r="W17" i="6"/>
  <c r="W21" i="6"/>
  <c r="W22" i="6"/>
  <c r="W20" i="6"/>
  <c r="W18" i="6"/>
  <c r="W26" i="6"/>
  <c r="W25" i="6"/>
  <c r="W42" i="6"/>
  <c r="W27" i="6"/>
  <c r="W41" i="6"/>
  <c r="W31" i="6"/>
  <c r="W40" i="6"/>
  <c r="W24" i="6"/>
  <c r="R17" i="6"/>
  <c r="R23" i="6"/>
  <c r="R28" i="6"/>
  <c r="R31" i="6"/>
  <c r="R26" i="6"/>
  <c r="R30" i="6"/>
  <c r="R21" i="6"/>
  <c r="R29" i="6"/>
  <c r="R27" i="6"/>
  <c r="R42" i="6"/>
  <c r="R41" i="6"/>
  <c r="R40" i="6"/>
  <c r="R20" i="6"/>
  <c r="R18" i="6"/>
  <c r="R19" i="6"/>
  <c r="R22" i="6"/>
  <c r="R24" i="6"/>
  <c r="R25" i="6"/>
  <c r="CQ21" i="6"/>
  <c r="CQ24" i="6"/>
  <c r="CQ22" i="6"/>
  <c r="CQ26" i="6"/>
  <c r="CQ23" i="6"/>
  <c r="CQ28" i="6"/>
  <c r="CQ17" i="6"/>
  <c r="CQ31" i="6"/>
  <c r="CQ27" i="6"/>
  <c r="CQ42" i="6"/>
  <c r="CQ41" i="6"/>
  <c r="CQ40" i="6"/>
  <c r="CQ25" i="6"/>
  <c r="CQ20" i="6"/>
  <c r="CQ19" i="6"/>
  <c r="CQ29" i="6"/>
  <c r="CQ18" i="6"/>
  <c r="CQ30" i="6"/>
  <c r="F20" i="6"/>
  <c r="F19" i="6"/>
  <c r="F22" i="6"/>
  <c r="F23" i="6"/>
  <c r="F24" i="6"/>
  <c r="F27" i="6"/>
  <c r="F29" i="6"/>
  <c r="F41" i="6"/>
  <c r="F42" i="6"/>
  <c r="F18" i="6"/>
  <c r="F28" i="6"/>
  <c r="F21" i="6"/>
  <c r="F25" i="6"/>
  <c r="F26" i="6"/>
  <c r="F17" i="6"/>
  <c r="F30" i="6"/>
  <c r="F31" i="6"/>
  <c r="F40" i="6"/>
  <c r="AL17" i="6"/>
  <c r="AL18" i="6"/>
  <c r="AL25" i="6"/>
  <c r="AL22" i="6"/>
  <c r="AL24" i="6"/>
  <c r="AL27" i="6"/>
  <c r="AL26" i="6"/>
  <c r="AL29" i="6"/>
  <c r="AL28" i="6"/>
  <c r="AL31" i="6"/>
  <c r="AL30" i="6"/>
  <c r="AL20" i="6"/>
  <c r="AL42" i="6"/>
  <c r="AL19" i="6"/>
  <c r="AL41" i="6"/>
  <c r="AL40" i="6"/>
  <c r="AL21" i="6"/>
  <c r="AL23" i="6"/>
  <c r="CJ18" i="6"/>
  <c r="CJ23" i="6"/>
  <c r="CJ29" i="6"/>
  <c r="CJ30" i="6"/>
  <c r="CJ31" i="6"/>
  <c r="CJ27" i="6"/>
  <c r="CJ19" i="6"/>
  <c r="CJ20" i="6"/>
  <c r="CJ24" i="6"/>
  <c r="CJ22" i="6"/>
  <c r="CJ17" i="6"/>
  <c r="CJ21" i="6"/>
  <c r="CJ25" i="6"/>
  <c r="CJ26" i="6"/>
  <c r="CJ28" i="6"/>
  <c r="CJ42" i="6"/>
  <c r="CJ41" i="6"/>
  <c r="CJ40" i="6"/>
  <c r="BK17" i="6"/>
  <c r="BK23" i="6"/>
  <c r="BK18" i="6"/>
  <c r="BK22" i="6"/>
  <c r="BK26" i="6"/>
  <c r="BK31" i="6"/>
  <c r="BK25" i="6"/>
  <c r="BK28" i="6"/>
  <c r="BK27" i="6"/>
  <c r="BK30" i="6"/>
  <c r="BK19" i="6"/>
  <c r="BK42" i="6"/>
  <c r="BK20" i="6"/>
  <c r="BK41" i="6"/>
  <c r="BK40" i="6"/>
  <c r="BK21" i="6"/>
  <c r="BK29" i="6"/>
  <c r="BK24" i="6"/>
  <c r="AB22" i="6"/>
  <c r="AB25" i="6"/>
  <c r="AB19" i="6"/>
  <c r="AB23" i="6"/>
  <c r="AB28" i="6"/>
  <c r="AB31" i="6"/>
  <c r="AB20" i="6"/>
  <c r="AB21" i="6"/>
  <c r="AB18" i="6"/>
  <c r="AB24" i="6"/>
  <c r="AB30" i="6"/>
  <c r="AB26" i="6"/>
  <c r="AB29" i="6"/>
  <c r="AB42" i="6"/>
  <c r="AB41" i="6"/>
  <c r="AB40" i="6"/>
  <c r="AB27" i="6"/>
  <c r="AB17" i="6"/>
  <c r="CB21" i="6"/>
  <c r="CB22" i="6"/>
  <c r="CB29" i="6"/>
  <c r="CB24" i="6"/>
  <c r="CB26" i="6"/>
  <c r="CB28" i="6"/>
  <c r="CB17" i="6"/>
  <c r="CB19" i="6"/>
  <c r="CB18" i="6"/>
  <c r="CB25" i="6"/>
  <c r="CB41" i="6"/>
  <c r="CB23" i="6"/>
  <c r="CB42" i="6"/>
  <c r="CB30" i="6"/>
  <c r="CB40" i="6"/>
  <c r="CB31" i="6"/>
  <c r="CB27" i="6"/>
  <c r="CB20" i="6"/>
  <c r="CY22" i="6"/>
  <c r="CY26" i="6"/>
  <c r="CY27" i="6"/>
  <c r="CY30" i="6"/>
  <c r="CY19" i="6"/>
  <c r="CY17" i="6"/>
  <c r="CY21" i="6"/>
  <c r="CY23" i="6"/>
  <c r="CY42" i="6"/>
  <c r="CY41" i="6"/>
  <c r="CY40" i="6"/>
  <c r="CY24" i="6"/>
  <c r="CY18" i="6"/>
  <c r="CY25" i="6"/>
  <c r="CY20" i="6"/>
  <c r="CY29" i="6"/>
  <c r="CY28" i="6"/>
  <c r="CY31" i="6"/>
  <c r="V22" i="6"/>
  <c r="V23" i="6"/>
  <c r="V21" i="6"/>
  <c r="V30" i="6"/>
  <c r="V17" i="6"/>
  <c r="V19" i="6"/>
  <c r="V26" i="6"/>
  <c r="V42" i="6"/>
  <c r="V41" i="6"/>
  <c r="V27" i="6"/>
  <c r="V20" i="6"/>
  <c r="V18" i="6"/>
  <c r="V25" i="6"/>
  <c r="V24" i="6"/>
  <c r="V28" i="6"/>
  <c r="V31" i="6"/>
  <c r="V29" i="6"/>
  <c r="V40" i="6"/>
  <c r="BB18" i="6"/>
  <c r="BB23" i="6"/>
  <c r="BB21" i="6"/>
  <c r="BB24" i="6"/>
  <c r="BB28" i="6"/>
  <c r="BB29" i="6"/>
  <c r="BB30" i="6"/>
  <c r="BB17" i="6"/>
  <c r="BB31" i="6"/>
  <c r="BB26" i="6"/>
  <c r="BB42" i="6"/>
  <c r="BB40" i="6"/>
  <c r="BB19" i="6"/>
  <c r="BB20" i="6"/>
  <c r="BB25" i="6"/>
  <c r="BB22" i="6"/>
  <c r="BB27" i="6"/>
  <c r="BB41" i="6"/>
  <c r="Y25" i="6"/>
  <c r="Y20" i="6"/>
  <c r="Y30" i="6"/>
  <c r="Y29" i="6"/>
  <c r="Y21" i="6"/>
  <c r="Y19" i="6"/>
  <c r="Y23" i="6"/>
  <c r="Y26" i="6"/>
  <c r="Y42" i="6"/>
  <c r="Y41" i="6"/>
  <c r="Y40" i="6"/>
  <c r="Y31" i="6"/>
  <c r="Y17" i="6"/>
  <c r="Y22" i="6"/>
  <c r="Y18" i="6"/>
  <c r="Y24" i="6"/>
  <c r="Y27" i="6"/>
  <c r="Y28" i="6"/>
  <c r="CU21" i="6"/>
  <c r="CU17" i="6"/>
  <c r="CU22" i="6"/>
  <c r="CU28" i="6"/>
  <c r="CU24" i="6"/>
  <c r="CU31" i="6"/>
  <c r="CU30" i="6"/>
  <c r="CU26" i="6"/>
  <c r="CU29" i="6"/>
  <c r="CU27" i="6"/>
  <c r="CU18" i="6"/>
  <c r="CU19" i="6"/>
  <c r="CU42" i="6"/>
  <c r="CU40" i="6"/>
  <c r="CU41" i="6"/>
  <c r="CU20" i="6"/>
  <c r="CU23" i="6"/>
  <c r="CU25" i="6"/>
  <c r="AK21" i="6"/>
  <c r="AK23" i="6"/>
  <c r="AK27" i="6"/>
  <c r="AK30" i="6"/>
  <c r="AK28" i="6"/>
  <c r="AK25" i="6"/>
  <c r="AK20" i="6"/>
  <c r="AK26" i="6"/>
  <c r="AK29" i="6"/>
  <c r="AK42" i="6"/>
  <c r="AK41" i="6"/>
  <c r="AK40" i="6"/>
  <c r="AK19" i="6"/>
  <c r="AK24" i="6"/>
  <c r="AK31" i="6"/>
  <c r="AK17" i="6"/>
  <c r="AK18" i="6"/>
  <c r="AK22" i="6"/>
  <c r="CW27" i="6"/>
  <c r="CW30" i="6"/>
  <c r="CW31" i="6"/>
  <c r="CW29" i="6"/>
  <c r="CW41" i="6"/>
  <c r="CW42" i="6"/>
  <c r="CW17" i="6"/>
  <c r="CW20" i="6"/>
  <c r="CW24" i="6"/>
  <c r="CW18" i="6"/>
  <c r="CW40" i="6"/>
  <c r="CW22" i="6"/>
  <c r="CW21" i="6"/>
  <c r="CW19" i="6"/>
  <c r="CW23" i="6"/>
  <c r="CW26" i="6"/>
  <c r="CW25" i="6"/>
  <c r="CW28" i="6"/>
  <c r="CH22" i="6"/>
  <c r="CH27" i="6"/>
  <c r="CH31" i="6"/>
  <c r="CH30" i="6"/>
  <c r="CH29" i="6"/>
  <c r="CH18" i="6"/>
  <c r="CH25" i="6"/>
  <c r="CH40" i="6"/>
  <c r="CH24" i="6"/>
  <c r="CH17" i="6"/>
  <c r="CH21" i="6"/>
  <c r="CH20" i="6"/>
  <c r="CH19" i="6"/>
  <c r="CH23" i="6"/>
  <c r="CH28" i="6"/>
  <c r="CH26" i="6"/>
  <c r="CH41" i="6"/>
  <c r="CH42" i="6"/>
  <c r="AE31" i="6"/>
  <c r="AE20" i="6"/>
  <c r="AE21" i="6"/>
  <c r="AE25" i="6"/>
  <c r="AE24" i="6"/>
  <c r="AE29" i="6"/>
  <c r="AE30" i="6"/>
  <c r="AE23" i="6"/>
  <c r="AE18" i="6"/>
  <c r="AE22" i="6"/>
  <c r="AE27" i="6"/>
  <c r="AE41" i="6"/>
  <c r="AE40" i="6"/>
  <c r="AE42" i="6"/>
  <c r="AE19" i="6"/>
  <c r="AE17" i="6"/>
  <c r="AE26" i="6"/>
  <c r="AE28" i="6"/>
  <c r="H19" i="6"/>
  <c r="H17" i="6"/>
  <c r="H20" i="6"/>
  <c r="H21" i="6"/>
  <c r="H18" i="6"/>
  <c r="H23" i="6"/>
  <c r="H22" i="6"/>
  <c r="H26" i="6"/>
  <c r="H29" i="6"/>
  <c r="H30" i="6"/>
  <c r="H24" i="6"/>
  <c r="H28" i="6"/>
  <c r="H27" i="6"/>
  <c r="H31" i="6"/>
  <c r="H25" i="6"/>
  <c r="H40" i="6"/>
  <c r="H42" i="6"/>
  <c r="H41" i="6"/>
  <c r="CK21" i="6"/>
  <c r="CK17" i="6"/>
  <c r="CK24" i="6"/>
  <c r="CK26" i="6"/>
  <c r="CK25" i="6"/>
  <c r="CK22" i="6"/>
  <c r="CK28" i="6"/>
  <c r="CK29" i="6"/>
  <c r="CK19" i="6"/>
  <c r="CK18" i="6"/>
  <c r="CK23" i="6"/>
  <c r="CK20" i="6"/>
  <c r="CK42" i="6"/>
  <c r="CK31" i="6"/>
  <c r="CK27" i="6"/>
  <c r="CK30" i="6"/>
  <c r="CK41" i="6"/>
  <c r="CK40" i="6"/>
  <c r="CO27" i="6"/>
  <c r="CO31" i="6"/>
  <c r="CO17" i="6"/>
  <c r="CO18" i="6"/>
  <c r="CO21" i="6"/>
  <c r="CO24" i="6"/>
  <c r="CO23" i="6"/>
  <c r="CO19" i="6"/>
  <c r="CO25" i="6"/>
  <c r="CO22" i="6"/>
  <c r="CO30" i="6"/>
  <c r="CO29" i="6"/>
  <c r="CO28" i="6"/>
  <c r="CO40" i="6"/>
  <c r="CO41" i="6"/>
  <c r="CO26" i="6"/>
  <c r="CO20" i="6"/>
  <c r="CO42" i="6"/>
  <c r="BU28" i="6"/>
  <c r="BU21" i="6"/>
  <c r="BU18" i="6"/>
  <c r="BU20" i="6"/>
  <c r="BU24" i="6"/>
  <c r="BU26" i="6"/>
  <c r="BU22" i="6"/>
  <c r="BU30" i="6"/>
  <c r="BU42" i="6"/>
  <c r="BU19" i="6"/>
  <c r="BU17" i="6"/>
  <c r="BU23" i="6"/>
  <c r="BU41" i="6"/>
  <c r="BU31" i="6"/>
  <c r="BU25" i="6"/>
  <c r="BU40" i="6"/>
  <c r="BU27" i="6"/>
  <c r="BU29" i="6"/>
  <c r="AS19" i="6"/>
  <c r="AS26" i="6"/>
  <c r="AS31" i="6"/>
  <c r="AS22" i="6"/>
  <c r="AS24" i="6"/>
  <c r="AS25" i="6"/>
  <c r="AS17" i="6"/>
  <c r="AS18" i="6"/>
  <c r="AS20" i="6"/>
  <c r="AS23" i="6"/>
  <c r="AS28" i="6"/>
  <c r="AS27" i="6"/>
  <c r="AS30" i="6"/>
  <c r="AS29" i="6"/>
  <c r="AS42" i="6"/>
  <c r="AS41" i="6"/>
  <c r="AS21" i="6"/>
  <c r="AS40" i="6"/>
  <c r="AY28" i="6"/>
  <c r="AY29" i="6"/>
  <c r="AY30" i="6"/>
  <c r="AY21" i="6"/>
  <c r="AY19" i="6"/>
  <c r="AY17" i="6"/>
  <c r="AY25" i="6"/>
  <c r="AY20" i="6"/>
  <c r="AY22" i="6"/>
  <c r="AY23" i="6"/>
  <c r="AY26" i="6"/>
  <c r="AY31" i="6"/>
  <c r="AY27" i="6"/>
  <c r="AY42" i="6"/>
  <c r="AY41" i="6"/>
  <c r="AY40" i="6"/>
  <c r="AY24" i="6"/>
  <c r="AY18" i="6"/>
  <c r="BS19" i="6"/>
  <c r="BS20" i="6"/>
  <c r="BS22" i="6"/>
  <c r="BS23" i="6"/>
  <c r="BS29" i="6"/>
  <c r="BS24" i="6"/>
  <c r="BS28" i="6"/>
  <c r="BS27" i="6"/>
  <c r="BS17" i="6"/>
  <c r="BS18" i="6"/>
  <c r="BS21" i="6"/>
  <c r="BS25" i="6"/>
  <c r="BS42" i="6"/>
  <c r="BS30" i="6"/>
  <c r="BS26" i="6"/>
  <c r="BS31" i="6"/>
  <c r="BS41" i="6"/>
  <c r="BS40" i="6"/>
  <c r="X28" i="6"/>
  <c r="X31" i="6"/>
  <c r="X17" i="6"/>
  <c r="X20" i="6"/>
  <c r="X18" i="6"/>
  <c r="X22" i="6"/>
  <c r="X26" i="6"/>
  <c r="X29" i="6"/>
  <c r="X23" i="6"/>
  <c r="X40" i="6"/>
  <c r="X42" i="6"/>
  <c r="X25" i="6"/>
  <c r="X24" i="6"/>
  <c r="X41" i="6"/>
  <c r="X27" i="6"/>
  <c r="X19" i="6"/>
  <c r="X21" i="6"/>
  <c r="X30" i="6"/>
  <c r="L27" i="6"/>
  <c r="L26" i="6"/>
  <c r="L18" i="6"/>
  <c r="L21" i="6"/>
  <c r="L19" i="6"/>
  <c r="L22" i="6"/>
  <c r="L30" i="6"/>
  <c r="L28" i="6"/>
  <c r="L25" i="6"/>
  <c r="L42" i="6"/>
  <c r="L41" i="6"/>
  <c r="L23" i="6"/>
  <c r="L24" i="6"/>
  <c r="L40" i="6"/>
  <c r="L29" i="6"/>
  <c r="L17" i="6"/>
  <c r="L31" i="6"/>
  <c r="L20" i="6"/>
  <c r="BG25" i="6"/>
  <c r="BG27" i="6"/>
  <c r="BG18" i="6"/>
  <c r="BG19" i="6"/>
  <c r="BG20" i="6"/>
  <c r="BG23" i="6"/>
  <c r="BG26" i="6"/>
  <c r="BG22" i="6"/>
  <c r="BG21" i="6"/>
  <c r="BG29" i="6"/>
  <c r="BG40" i="6"/>
  <c r="BG30" i="6"/>
  <c r="BG41" i="6"/>
  <c r="BG42" i="6"/>
  <c r="BG31" i="6"/>
  <c r="BG17" i="6"/>
  <c r="BG24" i="6"/>
  <c r="BG28" i="6"/>
  <c r="BD19" i="6"/>
  <c r="BD20" i="6"/>
  <c r="BD22" i="6"/>
  <c r="BD24" i="6"/>
  <c r="BD26" i="6"/>
  <c r="BD29" i="6"/>
  <c r="BD27" i="6"/>
  <c r="BD31" i="6"/>
  <c r="BD30" i="6"/>
  <c r="BD28" i="6"/>
  <c r="BD25" i="6"/>
  <c r="BD17" i="6"/>
  <c r="BD42" i="6"/>
  <c r="BD41" i="6"/>
  <c r="BD21" i="6"/>
  <c r="BD18" i="6"/>
  <c r="BD40" i="6"/>
  <c r="BD23" i="6"/>
  <c r="BF26" i="6"/>
  <c r="BF28" i="6"/>
  <c r="BF29" i="6"/>
  <c r="BF27" i="6"/>
  <c r="BF18" i="6"/>
  <c r="BF21" i="6"/>
  <c r="BF22" i="6"/>
  <c r="BF23" i="6"/>
  <c r="BF19" i="6"/>
  <c r="BF17" i="6"/>
  <c r="BF20" i="6"/>
  <c r="BF24" i="6"/>
  <c r="BF42" i="6"/>
  <c r="BF41" i="6"/>
  <c r="BF40" i="6"/>
  <c r="BF31" i="6"/>
  <c r="BF30" i="6"/>
  <c r="BF25" i="6"/>
  <c r="BX28" i="6"/>
  <c r="BX23" i="6"/>
  <c r="BX20" i="6"/>
  <c r="BX21" i="6"/>
  <c r="BX17" i="6"/>
  <c r="BX25" i="6"/>
  <c r="BX24" i="6"/>
  <c r="BX18" i="6"/>
  <c r="BX31" i="6"/>
  <c r="BX40" i="6"/>
  <c r="BX19" i="6"/>
  <c r="BX41" i="6"/>
  <c r="BX22" i="6"/>
  <c r="BX30" i="6"/>
  <c r="BX26" i="6"/>
  <c r="BX42" i="6"/>
  <c r="BX27" i="6"/>
  <c r="BX29" i="6"/>
  <c r="BA22" i="6"/>
  <c r="BA27" i="6"/>
  <c r="BA31" i="6"/>
  <c r="BA29" i="6"/>
  <c r="BA24" i="6"/>
  <c r="BA23" i="6"/>
  <c r="BA20" i="6"/>
  <c r="BA21" i="6"/>
  <c r="BA26" i="6"/>
  <c r="BA41" i="6"/>
  <c r="BA25" i="6"/>
  <c r="BA40" i="6"/>
  <c r="BA18" i="6"/>
  <c r="BA42" i="6"/>
  <c r="BA17" i="6"/>
  <c r="BA19" i="6"/>
  <c r="BA30" i="6"/>
  <c r="BA28" i="6"/>
  <c r="AO25" i="6"/>
  <c r="AO29" i="6"/>
  <c r="AO21" i="6"/>
  <c r="AO17" i="6"/>
  <c r="AO18" i="6"/>
  <c r="AO24" i="6"/>
  <c r="AO22" i="6"/>
  <c r="AO19" i="6"/>
  <c r="AO27" i="6"/>
  <c r="AO40" i="6"/>
  <c r="AO42" i="6"/>
  <c r="AO41" i="6"/>
  <c r="AO26" i="6"/>
  <c r="AO20" i="6"/>
  <c r="AO23" i="6"/>
  <c r="AO31" i="6"/>
  <c r="AO28" i="6"/>
  <c r="AO30" i="6"/>
  <c r="AV17" i="6"/>
  <c r="AV18" i="6"/>
  <c r="AV22" i="6"/>
  <c r="AV23" i="6"/>
  <c r="AV29" i="6"/>
  <c r="AV27" i="6"/>
  <c r="AV26" i="6"/>
  <c r="AV19" i="6"/>
  <c r="AV20" i="6"/>
  <c r="AV21" i="6"/>
  <c r="AV25" i="6"/>
  <c r="AV24" i="6"/>
  <c r="AV40" i="6"/>
  <c r="AV41" i="6"/>
  <c r="AV30" i="6"/>
  <c r="AV31" i="6"/>
  <c r="AV42" i="6"/>
  <c r="AV28" i="6"/>
  <c r="CI20" i="6"/>
  <c r="CI21" i="6"/>
  <c r="CI25" i="6"/>
  <c r="CI29" i="6"/>
  <c r="CI31" i="6"/>
  <c r="CI23" i="6"/>
  <c r="CI28" i="6"/>
  <c r="CI19" i="6"/>
  <c r="CI42" i="6"/>
  <c r="CI18" i="6"/>
  <c r="CI40" i="6"/>
  <c r="CI22" i="6"/>
  <c r="CI24" i="6"/>
  <c r="CI27" i="6"/>
  <c r="CI30" i="6"/>
  <c r="CI26" i="6"/>
  <c r="CI17" i="6"/>
  <c r="CI41" i="6"/>
  <c r="U25" i="6"/>
  <c r="U24" i="6"/>
  <c r="U30" i="6"/>
  <c r="U31" i="6"/>
  <c r="U28" i="6"/>
  <c r="U18" i="6"/>
  <c r="U19" i="6"/>
  <c r="U17" i="6"/>
  <c r="U40" i="6"/>
  <c r="U20" i="6"/>
  <c r="U21" i="6"/>
  <c r="U26" i="6"/>
  <c r="U27" i="6"/>
  <c r="U23" i="6"/>
  <c r="U29" i="6"/>
  <c r="U22" i="6"/>
  <c r="U42" i="6"/>
  <c r="U41" i="6"/>
  <c r="C16" i="6"/>
  <c r="D29" i="6"/>
  <c r="D24" i="6"/>
  <c r="D36" i="6"/>
  <c r="C25" i="6"/>
  <c r="D19" i="6"/>
  <c r="D21" i="6"/>
  <c r="C21" i="6"/>
  <c r="C23" i="6"/>
  <c r="D27" i="6"/>
  <c r="D43" i="6"/>
  <c r="D35" i="6"/>
  <c r="D18" i="6"/>
  <c r="C29" i="6"/>
  <c r="D26" i="6"/>
  <c r="D22" i="6"/>
  <c r="D17" i="6"/>
  <c r="D30" i="6"/>
  <c r="C31" i="6"/>
  <c r="D31" i="6"/>
  <c r="C30" i="6"/>
  <c r="C18" i="6"/>
  <c r="D34" i="6"/>
  <c r="D20" i="6"/>
  <c r="D33" i="6"/>
  <c r="D32" i="6"/>
  <c r="D28" i="6"/>
  <c r="D23" i="6"/>
  <c r="C24" i="6"/>
  <c r="C20" i="6"/>
  <c r="D25" i="6"/>
  <c r="D7" i="6" l="1"/>
  <c r="K2" i="6"/>
  <c r="J2" i="6"/>
  <c r="I2" i="6"/>
  <c r="J47" i="6"/>
  <c r="C27" i="6"/>
  <c r="C19" i="6"/>
  <c r="C22" i="6"/>
  <c r="C26" i="6"/>
  <c r="J39" i="6"/>
  <c r="K16" i="6"/>
  <c r="K47" i="6"/>
  <c r="C17" i="6"/>
  <c r="I47" i="6"/>
  <c r="C28" i="6"/>
  <c r="I16" i="6"/>
  <c r="D5" i="6" l="1"/>
  <c r="D50" i="6" s="1"/>
  <c r="D4" i="6"/>
  <c r="D49" i="6" s="1"/>
  <c r="D3" i="6"/>
  <c r="D51" i="6"/>
  <c r="D52" i="6"/>
  <c r="C5" i="6"/>
  <c r="AF5" i="6"/>
  <c r="AF50" i="6" s="1"/>
  <c r="BX5" i="6"/>
  <c r="BX50" i="6" s="1"/>
  <c r="AN5" i="6"/>
  <c r="AN50" i="6" s="1"/>
  <c r="CW5" i="6"/>
  <c r="CW50" i="6" s="1"/>
  <c r="AD5" i="6"/>
  <c r="AD50" i="6" s="1"/>
  <c r="CC5" i="6"/>
  <c r="CC50" i="6" s="1"/>
  <c r="S5" i="6"/>
  <c r="S50" i="6" s="1"/>
  <c r="AK5" i="6"/>
  <c r="AK50" i="6" s="1"/>
  <c r="E5" i="6"/>
  <c r="E50" i="6" s="1"/>
  <c r="AT5" i="6"/>
  <c r="AT50" i="6" s="1"/>
  <c r="AU5" i="6"/>
  <c r="AU50" i="6" s="1"/>
  <c r="N5" i="6"/>
  <c r="N50" i="6" s="1"/>
  <c r="BQ5" i="6"/>
  <c r="BQ50" i="6" s="1"/>
  <c r="BE5" i="6"/>
  <c r="BE50" i="6" s="1"/>
  <c r="CM5" i="6"/>
  <c r="CM50" i="6" s="1"/>
  <c r="X5" i="6"/>
  <c r="X50" i="6" s="1"/>
  <c r="AO5" i="6"/>
  <c r="AO50" i="6" s="1"/>
  <c r="O5" i="6"/>
  <c r="O50" i="6" s="1"/>
  <c r="T5" i="6"/>
  <c r="T50" i="6" s="1"/>
  <c r="AA5" i="6"/>
  <c r="AA50" i="6" s="1"/>
  <c r="AC5" i="6"/>
  <c r="AC50" i="6" s="1"/>
  <c r="CH5" i="6"/>
  <c r="CH50" i="6" s="1"/>
  <c r="BU5" i="6"/>
  <c r="BU50" i="6" s="1"/>
  <c r="Y5" i="6"/>
  <c r="Y50" i="6" s="1"/>
  <c r="AV5" i="6"/>
  <c r="AV50" i="6" s="1"/>
  <c r="CP5" i="6"/>
  <c r="CP50" i="6" s="1"/>
  <c r="CI5" i="6"/>
  <c r="CI50" i="6" s="1"/>
  <c r="R5" i="6"/>
  <c r="R50" i="6" s="1"/>
  <c r="CF5" i="6"/>
  <c r="CF50" i="6" s="1"/>
  <c r="AJ5" i="6"/>
  <c r="AJ50" i="6" s="1"/>
  <c r="Q5" i="6"/>
  <c r="Q50" i="6" s="1"/>
  <c r="CA5" i="6"/>
  <c r="CA50" i="6" s="1"/>
  <c r="AB5" i="6"/>
  <c r="AB50" i="6" s="1"/>
  <c r="AS5" i="6"/>
  <c r="AS50" i="6" s="1"/>
  <c r="AY5" i="6"/>
  <c r="AY50" i="6" s="1"/>
  <c r="G5" i="6"/>
  <c r="G50" i="6" s="1"/>
  <c r="BF5" i="6"/>
  <c r="BF50" i="6" s="1"/>
  <c r="BG5" i="6"/>
  <c r="BG50" i="6" s="1"/>
  <c r="BJ5" i="6"/>
  <c r="BJ50" i="6" s="1"/>
  <c r="CB5" i="6"/>
  <c r="CB50" i="6" s="1"/>
  <c r="AE5" i="6"/>
  <c r="AE50" i="6" s="1"/>
  <c r="BS5" i="6"/>
  <c r="BS50" i="6" s="1"/>
  <c r="BD5" i="6"/>
  <c r="BD50" i="6" s="1"/>
  <c r="AP5" i="6"/>
  <c r="AP50" i="6" s="1"/>
  <c r="AG5" i="6"/>
  <c r="AG50" i="6" s="1"/>
  <c r="BC5" i="6"/>
  <c r="BC50" i="6" s="1"/>
  <c r="M5" i="6"/>
  <c r="M50" i="6" s="1"/>
  <c r="BV5" i="6"/>
  <c r="BV50" i="6" s="1"/>
  <c r="BB5" i="6"/>
  <c r="BB50" i="6" s="1"/>
  <c r="CN5" i="6"/>
  <c r="CN50" i="6" s="1"/>
  <c r="CT5" i="6"/>
  <c r="CT50" i="6" s="1"/>
  <c r="BY5" i="6"/>
  <c r="BY50" i="6" s="1"/>
  <c r="AI5" i="6"/>
  <c r="AI50" i="6" s="1"/>
  <c r="AQ5" i="6"/>
  <c r="AQ50" i="6" s="1"/>
  <c r="BM5" i="6"/>
  <c r="BM50" i="6" s="1"/>
  <c r="CR5" i="6"/>
  <c r="CR50" i="6" s="1"/>
  <c r="CX5" i="6"/>
  <c r="CX50" i="6" s="1"/>
  <c r="CD5" i="6"/>
  <c r="CD50" i="6" s="1"/>
  <c r="BO5" i="6"/>
  <c r="BO50" i="6" s="1"/>
  <c r="AR5" i="6"/>
  <c r="AR50" i="6" s="1"/>
  <c r="U5" i="6"/>
  <c r="U50" i="6" s="1"/>
  <c r="AL5" i="6"/>
  <c r="AL50" i="6" s="1"/>
  <c r="BT5" i="6"/>
  <c r="BT50" i="6" s="1"/>
  <c r="CL5" i="6"/>
  <c r="CL50" i="6" s="1"/>
  <c r="BI5" i="6"/>
  <c r="BI50" i="6" s="1"/>
  <c r="CJ5" i="6"/>
  <c r="CJ50" i="6" s="1"/>
  <c r="AM5" i="6"/>
  <c r="AM50" i="6" s="1"/>
  <c r="Z5" i="6"/>
  <c r="Z50" i="6" s="1"/>
  <c r="CV5" i="6"/>
  <c r="CV50" i="6" s="1"/>
  <c r="BW5" i="6"/>
  <c r="BW50" i="6" s="1"/>
  <c r="CO5" i="6"/>
  <c r="CO50" i="6" s="1"/>
  <c r="CE5" i="6"/>
  <c r="CE50" i="6" s="1"/>
  <c r="AX5" i="6"/>
  <c r="AX50" i="6" s="1"/>
  <c r="BK5" i="6"/>
  <c r="BK50" i="6" s="1"/>
  <c r="CK5" i="6"/>
  <c r="CK50" i="6" s="1"/>
  <c r="BN5" i="6"/>
  <c r="BN50" i="6" s="1"/>
  <c r="AW5" i="6"/>
  <c r="AW50" i="6" s="1"/>
  <c r="BL5" i="6"/>
  <c r="BL50" i="6" s="1"/>
  <c r="BZ5" i="6"/>
  <c r="BZ50" i="6" s="1"/>
  <c r="BH5" i="6"/>
  <c r="BH50" i="6" s="1"/>
  <c r="CG5" i="6"/>
  <c r="CG50" i="6" s="1"/>
  <c r="BP5" i="6"/>
  <c r="BP50" i="6" s="1"/>
  <c r="L5" i="6"/>
  <c r="L50" i="6" s="1"/>
  <c r="AZ5" i="6"/>
  <c r="AZ50" i="6" s="1"/>
  <c r="CQ5" i="6"/>
  <c r="CQ50" i="6" s="1"/>
  <c r="W5" i="6"/>
  <c r="W50" i="6" s="1"/>
  <c r="BR5" i="6"/>
  <c r="BR50" i="6" s="1"/>
  <c r="BA5" i="6"/>
  <c r="BA50" i="6" s="1"/>
  <c r="F5" i="6"/>
  <c r="F50" i="6" s="1"/>
  <c r="H5" i="6"/>
  <c r="H50" i="6" s="1"/>
  <c r="V5" i="6"/>
  <c r="V50" i="6" s="1"/>
  <c r="P5" i="6"/>
  <c r="P50" i="6" s="1"/>
  <c r="CY5" i="6"/>
  <c r="CY50" i="6" s="1"/>
  <c r="CU5" i="6"/>
  <c r="CU50" i="6" s="1"/>
  <c r="AH5" i="6"/>
  <c r="AH50" i="6" s="1"/>
  <c r="CS5" i="6"/>
  <c r="CS50" i="6" s="1"/>
  <c r="AF4" i="6"/>
  <c r="AF49" i="6" s="1"/>
  <c r="BX4" i="6"/>
  <c r="BX49" i="6" s="1"/>
  <c r="AN4" i="6"/>
  <c r="AN49" i="6" s="1"/>
  <c r="CW4" i="6"/>
  <c r="CW49" i="6" s="1"/>
  <c r="AD4" i="6"/>
  <c r="AD49" i="6" s="1"/>
  <c r="CC4" i="6"/>
  <c r="CC49" i="6" s="1"/>
  <c r="S4" i="6"/>
  <c r="S49" i="6" s="1"/>
  <c r="AK4" i="6"/>
  <c r="AK49" i="6" s="1"/>
  <c r="E4" i="6"/>
  <c r="E49" i="6" s="1"/>
  <c r="AT4" i="6"/>
  <c r="AT49" i="6" s="1"/>
  <c r="AU4" i="6"/>
  <c r="AU49" i="6" s="1"/>
  <c r="N4" i="6"/>
  <c r="N49" i="6" s="1"/>
  <c r="BQ4" i="6"/>
  <c r="BQ49" i="6" s="1"/>
  <c r="BE4" i="6"/>
  <c r="BE49" i="6" s="1"/>
  <c r="CM4" i="6"/>
  <c r="CM49" i="6" s="1"/>
  <c r="X4" i="6"/>
  <c r="X49" i="6" s="1"/>
  <c r="AO4" i="6"/>
  <c r="AO49" i="6" s="1"/>
  <c r="O4" i="6"/>
  <c r="O49" i="6" s="1"/>
  <c r="BR4" i="6"/>
  <c r="BR49" i="6" s="1"/>
  <c r="BZ4" i="6"/>
  <c r="BZ49" i="6" s="1"/>
  <c r="T4" i="6"/>
  <c r="T49" i="6" s="1"/>
  <c r="AA4" i="6"/>
  <c r="AA49" i="6" s="1"/>
  <c r="AC4" i="6"/>
  <c r="AC49" i="6" s="1"/>
  <c r="CH4" i="6"/>
  <c r="CH49" i="6" s="1"/>
  <c r="BU4" i="6"/>
  <c r="BU49" i="6" s="1"/>
  <c r="Y4" i="6"/>
  <c r="Y49" i="6" s="1"/>
  <c r="BA4" i="6"/>
  <c r="BA49" i="6" s="1"/>
  <c r="W4" i="6"/>
  <c r="W49" i="6" s="1"/>
  <c r="AV4" i="6"/>
  <c r="AV49" i="6" s="1"/>
  <c r="CP4" i="6"/>
  <c r="CP49" i="6" s="1"/>
  <c r="CI4" i="6"/>
  <c r="CI49" i="6" s="1"/>
  <c r="R4" i="6"/>
  <c r="R49" i="6" s="1"/>
  <c r="CF4" i="6"/>
  <c r="CF49" i="6" s="1"/>
  <c r="AJ4" i="6"/>
  <c r="AJ49" i="6" s="1"/>
  <c r="H4" i="6"/>
  <c r="H49" i="6" s="1"/>
  <c r="CU4" i="6"/>
  <c r="CU49" i="6" s="1"/>
  <c r="CA4" i="6"/>
  <c r="CA49" i="6" s="1"/>
  <c r="AB4" i="6"/>
  <c r="AB49" i="6" s="1"/>
  <c r="AS4" i="6"/>
  <c r="AS49" i="6" s="1"/>
  <c r="AY4" i="6"/>
  <c r="AY49" i="6" s="1"/>
  <c r="G4" i="6"/>
  <c r="G49" i="6" s="1"/>
  <c r="BF4" i="6"/>
  <c r="BF49" i="6" s="1"/>
  <c r="BJ4" i="6"/>
  <c r="BJ49" i="6" s="1"/>
  <c r="CB4" i="6"/>
  <c r="CB49" i="6" s="1"/>
  <c r="AE4" i="6"/>
  <c r="AE49" i="6" s="1"/>
  <c r="BS4" i="6"/>
  <c r="BS49" i="6" s="1"/>
  <c r="BD4" i="6"/>
  <c r="BD49" i="6" s="1"/>
  <c r="AP4" i="6"/>
  <c r="AP49" i="6" s="1"/>
  <c r="V4" i="6"/>
  <c r="V49" i="6" s="1"/>
  <c r="AH4" i="6"/>
  <c r="AH49" i="6" s="1"/>
  <c r="AG4" i="6"/>
  <c r="AG49" i="6" s="1"/>
  <c r="BC4" i="6"/>
  <c r="BC49" i="6" s="1"/>
  <c r="M4" i="6"/>
  <c r="M49" i="6" s="1"/>
  <c r="BV4" i="6"/>
  <c r="BV49" i="6" s="1"/>
  <c r="BB4" i="6"/>
  <c r="BB49" i="6" s="1"/>
  <c r="CN4" i="6"/>
  <c r="CN49" i="6" s="1"/>
  <c r="AZ4" i="6"/>
  <c r="AZ49" i="6" s="1"/>
  <c r="P4" i="6"/>
  <c r="P49" i="6" s="1"/>
  <c r="CS4" i="6"/>
  <c r="CS49" i="6" s="1"/>
  <c r="BY4" i="6"/>
  <c r="BY49" i="6" s="1"/>
  <c r="AI4" i="6"/>
  <c r="AI49" i="6" s="1"/>
  <c r="AQ4" i="6"/>
  <c r="AQ49" i="6" s="1"/>
  <c r="BM4" i="6"/>
  <c r="BM49" i="6" s="1"/>
  <c r="CR4" i="6"/>
  <c r="CR49" i="6" s="1"/>
  <c r="CX4" i="6"/>
  <c r="CX49" i="6" s="1"/>
  <c r="CQ4" i="6"/>
  <c r="CQ49" i="6" s="1"/>
  <c r="BO4" i="6"/>
  <c r="BO49" i="6" s="1"/>
  <c r="AR4" i="6"/>
  <c r="AR49" i="6" s="1"/>
  <c r="U4" i="6"/>
  <c r="U49" i="6" s="1"/>
  <c r="AL4" i="6"/>
  <c r="AL49" i="6" s="1"/>
  <c r="BT4" i="6"/>
  <c r="BT49" i="6" s="1"/>
  <c r="CL4" i="6"/>
  <c r="CL49" i="6" s="1"/>
  <c r="CG4" i="6"/>
  <c r="CG49" i="6" s="1"/>
  <c r="CJ4" i="6"/>
  <c r="CJ49" i="6" s="1"/>
  <c r="AM4" i="6"/>
  <c r="AM49" i="6" s="1"/>
  <c r="Z4" i="6"/>
  <c r="Z49" i="6" s="1"/>
  <c r="CV4" i="6"/>
  <c r="CV49" i="6" s="1"/>
  <c r="BW4" i="6"/>
  <c r="BW49" i="6" s="1"/>
  <c r="CO4" i="6"/>
  <c r="CO49" i="6" s="1"/>
  <c r="L4" i="6"/>
  <c r="L49" i="6" s="1"/>
  <c r="BI4" i="6"/>
  <c r="BI49" i="6" s="1"/>
  <c r="CE4" i="6"/>
  <c r="CE49" i="6" s="1"/>
  <c r="CD4" i="6"/>
  <c r="CD49" i="6" s="1"/>
  <c r="CT4" i="6"/>
  <c r="CT49" i="6" s="1"/>
  <c r="BG4" i="6"/>
  <c r="BG49" i="6" s="1"/>
  <c r="Q4" i="6"/>
  <c r="Q49" i="6" s="1"/>
  <c r="BP4" i="6"/>
  <c r="BP49" i="6" s="1"/>
  <c r="AX4" i="6"/>
  <c r="AX49" i="6" s="1"/>
  <c r="BK4" i="6"/>
  <c r="BK49" i="6" s="1"/>
  <c r="CK4" i="6"/>
  <c r="CK49" i="6" s="1"/>
  <c r="BN4" i="6"/>
  <c r="BN49" i="6" s="1"/>
  <c r="AW4" i="6"/>
  <c r="AW49" i="6" s="1"/>
  <c r="BL4" i="6"/>
  <c r="BL49" i="6" s="1"/>
  <c r="BH4" i="6"/>
  <c r="BH49" i="6" s="1"/>
  <c r="F4" i="6"/>
  <c r="F49" i="6" s="1"/>
  <c r="CY4" i="6"/>
  <c r="CY49" i="6" s="1"/>
  <c r="AF3" i="6"/>
  <c r="AF8" i="6" s="1"/>
  <c r="BX3" i="6"/>
  <c r="AN3" i="6"/>
  <c r="AT3" i="6"/>
  <c r="AU3" i="6"/>
  <c r="N3" i="6"/>
  <c r="S3" i="6"/>
  <c r="AK3" i="6"/>
  <c r="CM3" i="6"/>
  <c r="X3" i="6"/>
  <c r="AO3" i="6"/>
  <c r="O3" i="6"/>
  <c r="BQ3" i="6"/>
  <c r="BE3" i="6"/>
  <c r="BE8" i="6" s="1"/>
  <c r="AC3" i="6"/>
  <c r="CH3" i="6"/>
  <c r="BU3" i="6"/>
  <c r="Y3" i="6"/>
  <c r="T3" i="6"/>
  <c r="AA3" i="6"/>
  <c r="CI3" i="6"/>
  <c r="R3" i="6"/>
  <c r="CF3" i="6"/>
  <c r="AJ3" i="6"/>
  <c r="AV3" i="6"/>
  <c r="CP3" i="6"/>
  <c r="AS3" i="6"/>
  <c r="AY3" i="6"/>
  <c r="G3" i="6"/>
  <c r="BF3" i="6"/>
  <c r="CA3" i="6"/>
  <c r="AB3" i="6"/>
  <c r="AE3" i="6"/>
  <c r="BS3" i="6"/>
  <c r="BD3" i="6"/>
  <c r="AP3" i="6"/>
  <c r="P3" i="6"/>
  <c r="BJ3" i="6"/>
  <c r="CB3" i="6"/>
  <c r="M3" i="6"/>
  <c r="BV3" i="6"/>
  <c r="BB3" i="6"/>
  <c r="CN3" i="6"/>
  <c r="AG3" i="6"/>
  <c r="BC3" i="6"/>
  <c r="AQ3" i="6"/>
  <c r="BM3" i="6"/>
  <c r="CR3" i="6"/>
  <c r="CX3" i="6"/>
  <c r="H3" i="6"/>
  <c r="BY3" i="6"/>
  <c r="AI3" i="6"/>
  <c r="U3" i="6"/>
  <c r="AL3" i="6"/>
  <c r="BT3" i="6"/>
  <c r="CL3" i="6"/>
  <c r="BO3" i="6"/>
  <c r="AR3" i="6"/>
  <c r="Z3" i="6"/>
  <c r="CV3" i="6"/>
  <c r="BW3" i="6"/>
  <c r="CO3" i="6"/>
  <c r="CG3" i="6"/>
  <c r="CJ3" i="6"/>
  <c r="AM3" i="6"/>
  <c r="CD3" i="6"/>
  <c r="CT3" i="6"/>
  <c r="BG3" i="6"/>
  <c r="Q3" i="6"/>
  <c r="V3" i="6"/>
  <c r="BI3" i="6"/>
  <c r="CE3" i="6"/>
  <c r="CK3" i="6"/>
  <c r="BN3" i="6"/>
  <c r="AW3" i="6"/>
  <c r="BL3" i="6"/>
  <c r="BH3" i="6"/>
  <c r="AX3" i="6"/>
  <c r="BK3" i="6"/>
  <c r="BP3" i="6"/>
  <c r="L3" i="6"/>
  <c r="AZ3" i="6"/>
  <c r="CQ3" i="6"/>
  <c r="F3" i="6"/>
  <c r="BR3" i="6"/>
  <c r="BA3" i="6"/>
  <c r="W3" i="6"/>
  <c r="CU3" i="6"/>
  <c r="AH3" i="6"/>
  <c r="CS3" i="6"/>
  <c r="CY3" i="6"/>
  <c r="BZ3" i="6"/>
  <c r="CW3" i="6"/>
  <c r="AD3" i="6"/>
  <c r="CC3" i="6"/>
  <c r="E3" i="6"/>
  <c r="C4" i="6"/>
  <c r="C3" i="6"/>
  <c r="I21" i="6"/>
  <c r="I19" i="6"/>
  <c r="I17" i="6"/>
  <c r="I18" i="6"/>
  <c r="I20" i="6"/>
  <c r="I23" i="6"/>
  <c r="I24" i="6"/>
  <c r="I22" i="6"/>
  <c r="I31" i="6"/>
  <c r="I26" i="6"/>
  <c r="I27" i="6"/>
  <c r="I30" i="6"/>
  <c r="I29" i="6"/>
  <c r="I25" i="6"/>
  <c r="I28" i="6"/>
  <c r="K18" i="6"/>
  <c r="K21" i="6"/>
  <c r="K19" i="6"/>
  <c r="K20" i="6"/>
  <c r="K17" i="6"/>
  <c r="K22" i="6"/>
  <c r="K26" i="6"/>
  <c r="K23" i="6"/>
  <c r="K25" i="6"/>
  <c r="K24" i="6"/>
  <c r="K28" i="6"/>
  <c r="K29" i="6"/>
  <c r="K31" i="6"/>
  <c r="K27" i="6"/>
  <c r="K30" i="6"/>
  <c r="I41" i="6"/>
  <c r="I42" i="6"/>
  <c r="I40" i="6"/>
  <c r="K41" i="6"/>
  <c r="K40" i="6"/>
  <c r="K42" i="6"/>
  <c r="D40" i="6"/>
  <c r="I39" i="6"/>
  <c r="K39" i="6"/>
  <c r="D42" i="6"/>
  <c r="J16" i="6"/>
  <c r="D41" i="6"/>
  <c r="AN8" i="6" l="1"/>
  <c r="BQ8" i="6"/>
  <c r="AH8" i="6"/>
  <c r="BX8" i="6"/>
  <c r="S8" i="6"/>
  <c r="CL8" i="6"/>
  <c r="CM8" i="6"/>
  <c r="X8" i="6"/>
  <c r="CQ8" i="6"/>
  <c r="CU8" i="6"/>
  <c r="AL8" i="6"/>
  <c r="BV8" i="6"/>
  <c r="CE8" i="6"/>
  <c r="AJ8" i="6"/>
  <c r="AU8" i="6"/>
  <c r="AD8" i="6"/>
  <c r="BO8" i="6"/>
  <c r="CP8" i="6"/>
  <c r="R8" i="6"/>
  <c r="N8" i="6"/>
  <c r="AP8" i="6"/>
  <c r="BT8" i="6"/>
  <c r="CS8" i="6"/>
  <c r="BN8" i="6"/>
  <c r="BH8" i="6"/>
  <c r="AK8" i="6"/>
  <c r="CW8" i="6"/>
  <c r="BZ8" i="6"/>
  <c r="L8" i="6"/>
  <c r="AM8" i="6"/>
  <c r="AV8" i="6"/>
  <c r="U8" i="6"/>
  <c r="BL8" i="6"/>
  <c r="CV8" i="6"/>
  <c r="AG8" i="6"/>
  <c r="CY8" i="6"/>
  <c r="AI8" i="6"/>
  <c r="BC8" i="6"/>
  <c r="CI8" i="6"/>
  <c r="AR8" i="6"/>
  <c r="M8" i="6"/>
  <c r="V8" i="6"/>
  <c r="CT8" i="6"/>
  <c r="BY8" i="6"/>
  <c r="BD8" i="6"/>
  <c r="T8" i="6"/>
  <c r="AW8" i="6"/>
  <c r="Z8" i="6"/>
  <c r="AO8" i="6"/>
  <c r="BB8" i="6"/>
  <c r="CA8" i="6"/>
  <c r="W8" i="6"/>
  <c r="BI8" i="6"/>
  <c r="CF8" i="6"/>
  <c r="Q8" i="6"/>
  <c r="F8" i="6"/>
  <c r="AA8" i="6"/>
  <c r="BG8" i="6"/>
  <c r="AE8" i="6"/>
  <c r="AB8" i="6"/>
  <c r="CX8" i="6"/>
  <c r="CC8" i="6"/>
  <c r="CG8" i="6"/>
  <c r="AZ8" i="6"/>
  <c r="BW8" i="6"/>
  <c r="D8" i="6"/>
  <c r="AQ8" i="6"/>
  <c r="O8" i="6"/>
  <c r="BR8" i="6"/>
  <c r="BA8" i="6"/>
  <c r="BJ8" i="6"/>
  <c r="BU8" i="6"/>
  <c r="BP8" i="6"/>
  <c r="CR8" i="6"/>
  <c r="CH8" i="6"/>
  <c r="BM8" i="6"/>
  <c r="AC8" i="6"/>
  <c r="CB8" i="6"/>
  <c r="AX8" i="6"/>
  <c r="CO8" i="6"/>
  <c r="G8" i="6"/>
  <c r="AY8" i="6"/>
  <c r="CN8" i="6"/>
  <c r="AS8" i="6"/>
  <c r="CK8" i="6"/>
  <c r="P8" i="6"/>
  <c r="AT8" i="6"/>
  <c r="CD8" i="6"/>
  <c r="H8" i="6"/>
  <c r="BS8" i="6"/>
  <c r="Y8" i="6"/>
  <c r="CJ8" i="6"/>
  <c r="BK8" i="6"/>
  <c r="BF8" i="6"/>
  <c r="E8" i="6"/>
  <c r="CN48" i="6"/>
  <c r="BN48" i="6"/>
  <c r="BB48" i="6"/>
  <c r="O48" i="6"/>
  <c r="CS48" i="6"/>
  <c r="AR48" i="6"/>
  <c r="AH48" i="6"/>
  <c r="CK48" i="6"/>
  <c r="BO48" i="6"/>
  <c r="BV48" i="6"/>
  <c r="AV48" i="6"/>
  <c r="BT48" i="6"/>
  <c r="CB48" i="6"/>
  <c r="CF48" i="6"/>
  <c r="BL48" i="6"/>
  <c r="BI48" i="6"/>
  <c r="V48" i="6"/>
  <c r="BJ48" i="6"/>
  <c r="R48" i="6"/>
  <c r="CL48" i="6"/>
  <c r="W48" i="6"/>
  <c r="BA48" i="6"/>
  <c r="BR48" i="6"/>
  <c r="Q48" i="6"/>
  <c r="U48" i="6"/>
  <c r="P48" i="6"/>
  <c r="CI48" i="6"/>
  <c r="AU48" i="6"/>
  <c r="CY48" i="6"/>
  <c r="BG48" i="6"/>
  <c r="AI48" i="6"/>
  <c r="AP48" i="6"/>
  <c r="AA48" i="6"/>
  <c r="AT48" i="6"/>
  <c r="AW48" i="6"/>
  <c r="CQ48" i="6"/>
  <c r="CT48" i="6"/>
  <c r="BY48" i="6"/>
  <c r="BD48" i="6"/>
  <c r="T48" i="6"/>
  <c r="AG48" i="6"/>
  <c r="AS48" i="6"/>
  <c r="AZ48" i="6"/>
  <c r="CD48" i="6"/>
  <c r="BS48" i="6"/>
  <c r="Y48" i="6"/>
  <c r="BX48" i="6"/>
  <c r="AY48" i="6"/>
  <c r="AM48" i="6"/>
  <c r="CX48" i="6"/>
  <c r="AE48" i="6"/>
  <c r="BU48" i="6"/>
  <c r="BP48" i="6"/>
  <c r="CJ48" i="6"/>
  <c r="CR48" i="6"/>
  <c r="AB48" i="6"/>
  <c r="CH48" i="6"/>
  <c r="CC48" i="6"/>
  <c r="BK48" i="6"/>
  <c r="CG48" i="6"/>
  <c r="BM48" i="6"/>
  <c r="CA48" i="6"/>
  <c r="AC48" i="6"/>
  <c r="Z48" i="6"/>
  <c r="AD48" i="6"/>
  <c r="AX48" i="6"/>
  <c r="CO48" i="6"/>
  <c r="AQ48" i="6"/>
  <c r="BF48" i="6"/>
  <c r="CV48" i="6"/>
  <c r="CU48" i="6"/>
  <c r="BH48" i="6"/>
  <c r="BW48" i="6"/>
  <c r="BC48" i="6"/>
  <c r="BQ48" i="6"/>
  <c r="D48" i="6"/>
  <c r="E48" i="6"/>
  <c r="F48" i="6"/>
  <c r="G48" i="6"/>
  <c r="H48" i="6"/>
  <c r="L48" i="6"/>
  <c r="M48" i="6"/>
  <c r="N48" i="6"/>
  <c r="AO48" i="6"/>
  <c r="CM48" i="6"/>
  <c r="AJ48" i="6"/>
  <c r="AK48" i="6"/>
  <c r="X48" i="6"/>
  <c r="AL48" i="6"/>
  <c r="CP48" i="6"/>
  <c r="AN48" i="6"/>
  <c r="AF48" i="6"/>
  <c r="S48" i="6"/>
  <c r="BE48" i="6"/>
  <c r="BZ48" i="6"/>
  <c r="CE48" i="6"/>
  <c r="CW48" i="6"/>
  <c r="K5" i="6"/>
  <c r="K50" i="6" s="1"/>
  <c r="I4" i="6"/>
  <c r="I49" i="6" s="1"/>
  <c r="I5" i="6"/>
  <c r="I50" i="6" s="1"/>
  <c r="K4" i="6"/>
  <c r="K49" i="6" s="1"/>
  <c r="I3" i="6"/>
  <c r="K3" i="6"/>
  <c r="J20" i="6"/>
  <c r="J22" i="6"/>
  <c r="J24" i="6"/>
  <c r="J25" i="6"/>
  <c r="J28" i="6"/>
  <c r="J41" i="6"/>
  <c r="J31" i="6"/>
  <c r="J26" i="6"/>
  <c r="J17" i="6"/>
  <c r="J29" i="6"/>
  <c r="J40" i="6"/>
  <c r="J30" i="6"/>
  <c r="J18" i="6"/>
  <c r="J19" i="6"/>
  <c r="J42" i="6"/>
  <c r="J21" i="6"/>
  <c r="J23" i="6"/>
  <c r="J27" i="6"/>
  <c r="K8" i="6" l="1"/>
  <c r="I8" i="6"/>
  <c r="I48" i="6"/>
  <c r="K48" i="6"/>
  <c r="J5" i="6"/>
  <c r="J50" i="6" s="1"/>
  <c r="J4" i="6"/>
  <c r="J49" i="6" s="1"/>
  <c r="J3" i="6"/>
  <c r="J8" i="6" l="1"/>
  <c r="J4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tc={E8E6CC9B-9894-4254-8CE7-EE868DF7F0E7}</author>
  </authors>
  <commentList>
    <comment ref="C6" authorId="0" shapeId="0" xr:uid="{E8E6CC9B-9894-4254-8CE7-EE868DF7F0E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Planwert kann manuell angepasst werden</t>
      </text>
    </comment>
  </commentList>
</comments>
</file>

<file path=xl/sharedStrings.xml><?xml version="1.0" encoding="utf-8"?>
<sst xmlns="http://schemas.openxmlformats.org/spreadsheetml/2006/main" count="1786" uniqueCount="395">
  <si>
    <t>Capability</t>
  </si>
  <si>
    <t>Anforderung</t>
  </si>
  <si>
    <t>Modulname (optional)</t>
  </si>
  <si>
    <t>Status</t>
  </si>
  <si>
    <t>Tailoring-Begründung</t>
  </si>
  <si>
    <t>Teilweise</t>
  </si>
  <si>
    <t>Erfüllt</t>
  </si>
  <si>
    <t>Nicht erfüllt</t>
  </si>
  <si>
    <t>Architektur</t>
  </si>
  <si>
    <t>Projektmanagement</t>
  </si>
  <si>
    <t>Shoring</t>
  </si>
  <si>
    <t>Gesamt</t>
  </si>
  <si>
    <t>Plan-Status</t>
  </si>
  <si>
    <t>Out of Scope</t>
  </si>
  <si>
    <t>Ist-Status</t>
  </si>
  <si>
    <t>Begründung der Abweichung</t>
  </si>
  <si>
    <t>Punktewert</t>
  </si>
  <si>
    <t>Details</t>
  </si>
  <si>
    <t>Maßnahmen</t>
  </si>
  <si>
    <t>Legende</t>
  </si>
  <si>
    <t>PLAN Stand</t>
  </si>
  <si>
    <t>Erfüllungsgrad</t>
  </si>
  <si>
    <t>ℹ️Tabellennamen der IST-Stände bitte manuell ergänzen</t>
  </si>
  <si>
    <t>Anzahl der Stati</t>
  </si>
  <si>
    <t>ℹ️ zur Anzeige der Details bitte ausklappen …</t>
  </si>
  <si>
    <t>⚠️</t>
  </si>
  <si>
    <t>↗️</t>
  </si>
  <si>
    <t>Anzahl Abweichungen zum Plan Stand</t>
  </si>
  <si>
    <t>Plan-Stand nicht erfüllt</t>
  </si>
  <si>
    <t>Plan-Stand erfüllt</t>
  </si>
  <si>
    <t>manuell befüllbare Felder</t>
  </si>
  <si>
    <t>Einleitung – Zweck des Tools</t>
  </si>
  <si>
    <t>Begriffserklärung</t>
  </si>
  <si>
    <t>Tabellenblatt: Erfüllungsgrad</t>
  </si>
  <si>
    <t>Tabellenblatt: PLAN Stand</t>
  </si>
  <si>
    <t>Tabellenblatt: IST Stand</t>
  </si>
  <si>
    <t>IST erfüllt mehr als PLAN</t>
  </si>
  <si>
    <t>Gleicher Erfüllungsgrad, aber</t>
  </si>
  <si>
    <t xml:space="preserve"> erfüllt durch andere Anforderungen</t>
  </si>
  <si>
    <t>IST Stand &lt;Datum&gt;</t>
  </si>
  <si>
    <t>Alle</t>
  </si>
  <si>
    <t>Projektorganisation (Organigramm) ist dokumentiert und aktuell.</t>
  </si>
  <si>
    <t>Standardprozesse sind dokumentiert, für Team und Kunde zugänglich und werden gelebt (EPIC-Prozess, Story-Prozess, Defect-Prozess, etc.)</t>
  </si>
  <si>
    <t>Aktuelle On-/Offboarding-Dokumentation ist vorhanden und um Prozesse, Tools und Admin erweitert.</t>
  </si>
  <si>
    <t>DoE/DoR/DoD für Epics und Stories sind definiert und im Einsatz.</t>
  </si>
  <si>
    <t>Entscheidungsdokumentation (Decision Log) wird geführt.</t>
  </si>
  <si>
    <t>Meeting-Struktur (Dailies, Sprint Planning, Refinement, Review, Retro) ist terminiert und wird durchgeführt.</t>
  </si>
  <si>
    <t>Administratives Setup (Verbuchung, Heimat-Vorgänge, Stundenerfassung) ist gemäß Standard etabliert.</t>
  </si>
  <si>
    <t>Rolle Projektleitung und Architekt sind namentlich besetzt; weitere Rollen gemäß Auftrag besetzt.</t>
  </si>
  <si>
    <t>Aufgabenboard (inkl. Kategorie „Offene Punkte") existiert und wird genutzt.</t>
  </si>
  <si>
    <t>Kapazitätsplanung wird über Blueprint Capacity-Tool abgebildet.</t>
  </si>
  <si>
    <t>Basis-Performance-Report (Plan-Ist-Vergleich, Trends, Optimierungsbedarfe) wird regelmäßig erstellt.</t>
  </si>
  <si>
    <t>Team ist in Heimat allokiert; Rollen und Kapazitäten sind hinterlegt und aktuell (bis 6 Monate in die Zukunft).</t>
  </si>
  <si>
    <t>Vertretungsregeln sind etabliert.</t>
  </si>
  <si>
    <t>SP-Commitments sind je Planungsintervall erfasst, getrackt und werden erfüllt (Abweichung &lt;=5%)</t>
  </si>
  <si>
    <t>Register technischer Schulden mit Claim-Assessment ist vorhanden und priorisiert.</t>
  </si>
  <si>
    <t>Risikodokumentation und Optimierungsroadmap (Betriebsrisiken, Mitigation) sind vorhanden. Tickets zur Umsetzung sind angelegt und eingeplant.</t>
  </si>
  <si>
    <t>Bestehende Systemdokumentation und Architektur sind übernommen; Vollständigkeit validiert (Ziel: ≥90 % kritische Komponenten).</t>
  </si>
  <si>
    <t>Bestätigung des Change of Controll mit Dokumentation aller Maßnahmen und Absprachen zu Findings liegt vor.</t>
  </si>
  <si>
    <t>Technische System-Dokumentation und Security-Policies sind vorhanden und aktuell.</t>
  </si>
  <si>
    <t>Supportstruktur (vertraglich vereinbart) ist aufgebaut; Tools und SLA-Setup sind konfiguriert.</t>
  </si>
  <si>
    <t>Bei Übernahme neuer Services: Betriebsübernahme (Dokumentation, KT, Technische Schulden, Optimierungen als Ticket erfasst) wurde durchgeführt.</t>
  </si>
  <si>
    <t>Erfüllte DoE auf EPIC-Ebene wurden verifiziert vor Annahme.</t>
  </si>
  <si>
    <t>EPIC-Grobschätzung für unfertige EPICs (SP-Bandbreiten, Schätz-Experten) wurde durchgeführt. Kunden-Entscheidung zum SP-Planungsvolumen je EPIC wurde dokumentiert.</t>
  </si>
  <si>
    <t>Commitment-Fähigkeit der EPICs wurde vor Commitment-Abgabe verifiziert (Ressourcen-Contraints, Abhängigkeitsanalyse, etc).</t>
  </si>
  <si>
    <t>PI-Commitment wurde mit Stakeholdern abgestimmt und finalisiert und dokumentiert</t>
  </si>
  <si>
    <t>Abweichungen von der committen PI-Planung wurden im Change- und/oder Entscheidungslog dokumentiert.</t>
  </si>
  <si>
    <t>System zur Überwachung des PI-Fortschritts gemäß Blueprints ist etabliert.</t>
  </si>
  <si>
    <t>Soll-Ist-Kostenvergleich (Plan-/Ist-Werte, Renditestatus) ist zum Controlling-Stichtag erstellt und plausibilisiert.</t>
  </si>
  <si>
    <t>Maßnahmenliste/Decision Log mit Optimierungsmaßnahmen (Root-Cause, Aufwand/Nutzen, Verantwortlichkeit) ist geführt und priorisiert.</t>
  </si>
  <si>
    <t>DDH Dashboards (Projekt Health Metrics, Projektlivekalkulation, Live-Auswertung) werden regelmäßig gesichtet.</t>
  </si>
  <si>
    <t>Aktueller Stand der Projektkosten (Personal aus Heimat, Sachkosten CONT-Jira) sind erfasst, kategorisiert und mit DDH abgeglichen.</t>
  </si>
  <si>
    <t>Aktivität „Projektwirtschaftlichkeit monitoren" (DDH-Sicht, Abweichungen, Detail-Analysen bei &gt;5 %, Trendprognose) wird zum Controlling-Zeitpunkt durchgeführt.</t>
  </si>
  <si>
    <t>Bei Abweichungen &gt;5 % sind Detail-Analysen auf Arbeitspaket-Ebene durchgeführt und mit DDH plausibilisiert.</t>
  </si>
  <si>
    <t>Priorisiertes Product Backlog mit DoE-validierten EPICs und DoR-validierten User Stories liegt vor und wird mit dem Kunden abgestimmt.</t>
  </si>
  <si>
    <t>Externes und internes Backlog Refinement (BLR) finden regelmäßig statt; DoE-Gate werden vor EPIC-Breakdown geprüft.</t>
  </si>
  <si>
    <t>Sprint-Planning erfolgt alle 2–3 Wochen mit Velocity+10%-Rahmen; Scope-Commitment und Prioritäts-Freeze werden dokumentiert.</t>
  </si>
  <si>
    <t>Sprint-Scope-Änderungen laufen über PO-Freigabe; alle Ticket-Austausche sind im Task-Tracking-Tool mit Begründung dokumentiert.</t>
  </si>
  <si>
    <t>DoD wird vor Stakeholder-Handover geprüft; Tickets enthalten vollständige Beweisführung und QA-Verweise.</t>
  </si>
  <si>
    <t>EPIC-fokussierte Sprint Reviews mit Kunde finden alle 2–3 Wochen statt (keine Story-für-Story-Abnahme im Review).</t>
  </si>
  <si>
    <t>Bilaterale Stakeholder-Abnahme läuft asynchron; zeitnaher Feedback-/Abnahmeprozess vom Anforderer ist etabliert.</t>
  </si>
  <si>
    <t>Support-Handover bei support-relevanten Deployments ist etabliert (Knowledge-Base, 48h-Support bei kritischen Features).</t>
  </si>
  <si>
    <t>Interne Team-Retrospektiven (ohne Kunde) finden statt; Retro-Maßnahmen sind im Projekt-Space dokumentiert und werden getrackt.</t>
  </si>
  <si>
    <t>DoE/DoR/DoD-Checklisten und Kommunikationskanal für Kundenabstimmung sind definiert und in Nutzung.</t>
  </si>
  <si>
    <t>Eskalationswege (Sprint-Ziel, technische Blocker, Deployment, Kapazität) sind bekannt und werden bei Bedarf genutzt.</t>
  </si>
  <si>
    <t>Defects werden klassifiziert und nach SLA bearbeitet (z. B. Critical 24h, High 3 Werktage); RCA bei wiederkehrenden Issues.</t>
  </si>
  <si>
    <t>Qualitäts KPIs werden regelmäßig geprüft und Maßnahmen abgeleitet.</t>
  </si>
  <si>
    <t>Stakeholder-Qualitätsanforderungen und vertragliche SLA-Targets sind erfasst und in KPIs übersetzt.</t>
  </si>
  <si>
    <t>Eskalationswege für Critical Defects und Quality-Gate-Verletzungen sind definiert und werden eingehalten.</t>
  </si>
  <si>
    <t>PI Progression Map mit Meilensteinen, KPIs und Abhängigkeiten ist bei PI-Start konfiguriert und im Projekt-Space verfügbar.</t>
  </si>
  <si>
    <t>PI-Dashboard (Meilenstein-Status, EPIC-Fortschritt, Velocity-Trends, Team-Performance) wird wöchentlich aktualisiert.</t>
  </si>
  <si>
    <t>Wöchentliches Meilenstein-Status-Update und Abweichungsanalyse werden durchgeführt; kritische Abweichungen sind im Riks-Jira erfasst und aktuell.</t>
  </si>
  <si>
    <t>PI-Reviews mit Kunde werden durchgeführt; PI-Review-Report und Kunden-Feedback sind dokumentiert.</t>
  </si>
  <si>
    <t>PI-Abschluss mit KPI-Auswertung, Soll-Ist-Vergleich und konsolidierter Lessons-Learned-Auswertung (Sprint-Retros des PI) wird durchgeführt.</t>
  </si>
  <si>
    <t>KPI-basierte Verbesserungsmaßnahmen mit quantifizierten Zielen sind erstellt und für das nächste PI-Planning vorbereitet.</t>
  </si>
  <si>
    <t>Eskalationsprozess bei kritischen Meilenstein-Verzögerungen und PI-Scope-Risiken ist definiert und wird angewendet.</t>
  </si>
  <si>
    <t>Change Management: Jeder relevante Deployment/Change ist im Change-Register mit Pipeline-Referenz und Quality-Gate-Ergebnissen dokumentiert.</t>
  </si>
  <si>
    <t>Quality-Gate-Ergebnisse (Tests, Security, Performance) sind mit Change-Records verlinkt; Business-Freigabe (falls vereinbart) ist dokumentiert.</t>
  </si>
  <si>
    <t>Der Change Management Prozess ist vollständig automatisiert.</t>
  </si>
  <si>
    <t>Risiken werden im zentralen doubleSlash RISK-Jira dokumentiert und sind aktuell.</t>
  </si>
  <si>
    <t>Risk-Review-Punkte sind in Sprint Retro, Sprint Planning, PI Planning und Refinement verankert; monatliche Risk Reviews mit Risk-Ownern finden statt.</t>
  </si>
  <si>
    <t>Eskalationsprozess ist dokumentiert und wird angewendet.</t>
  </si>
  <si>
    <t>Kritische Risiken haben konkrete Mitigation-Pläne, Owner und Fälligkeiten.</t>
  </si>
  <si>
    <t>Wöchentliches Risk-Status-Review und Mitigation-Progress-Tracking wird durchgeführt;</t>
  </si>
  <si>
    <t>Bei eingetretenen Risiken erfolgt Issue-Management (Backlog/Sprint-Planning); Eskalation bei verpassten Deadlines oder ausbleibender Owner-Reaktion.</t>
  </si>
  <si>
    <t>Monatliches Reporting der Risiken über den STQB Report ist etabliert. Bei kritischen Risiken bei Bedarf stakeholder-gerechte zusätzliche Kommunikation. Abstimmung im Rahmen des Claim &amp; Change Management s erfolgt bei risikobedingten Änderungen.</t>
  </si>
  <si>
    <t>Claim- und Change-Register ist angelegt und aktuell.</t>
  </si>
  <si>
    <t>Change/Claim-Management: Detailerfassung, Stakeholder-Validierung, Machbarkeits- und Risikobewertung; bei Impact &gt;5 % erfolgt Eintrag im zentralen Risk Jira.</t>
  </si>
  <si>
    <t>Entscheidungen aus Claim- &amp; Change Management werden im Decision Log dokumentiert.</t>
  </si>
  <si>
    <t>Change-Abschluss: Abnahme, Nachkalkulation, Lessons Learned und Stakeholder-/Sales-Feedback werden dokumentiert; Change-Abschlussbericht wird erstellt.</t>
  </si>
  <si>
    <t>Eskalationsprozess (Claim-Streitigkeiten, technische Machbarkeit, Budget, Vertrag) ist geregelt und wird bei Bedarf genutzt.</t>
  </si>
  <si>
    <t>Wöchentlicher Projekt-Status-Report (Scope, Time, Quality, Budget, Entscheidungen, Risiken, Change/Claim-Status) wird erstellt und an Kundenprojektleitung kommuniziert.</t>
  </si>
  <si>
    <t>Monatlicher SLA-Report mit Vertragskennzahlen, Compliance-Metriken und Maßnahmen bei Abweichungen wird bis 5. Folgetag erstellt und an relevante Stakeholder verteilt.</t>
  </si>
  <si>
    <t>Quartalsweiser Delivery-Management-Report (PCO) mit Projekt-KPIs, Rendite, Effizienz und Risiken wird erstellt und in PCO-Terminen besprochen.</t>
  </si>
  <si>
    <t>8-wöchentlicher Executive-Projekt-Report mit Gesamtstatus, Erfolgen, kritischen Risiken und Empfehlungen wird erstellt und mit Management besprochen.</t>
  </si>
  <si>
    <t>Report-Daten können vollumfänglich aus dem Standard-Setup bezogen werden (Daten/Reports/Dashboards aus Progress Tracking, Capacity, Test-Quality, Risk, Claim-Change, Rendite-Controlling, ggf. Service Operations).</t>
  </si>
  <si>
    <t>Aus Reports abgeleitete Maßnahmen werden terminiert und gemäß Blueprint-Vorgehen umgesetzt.</t>
  </si>
  <si>
    <t>Eskalationsprozess bei SLA-Verletzungen, Budget-, Timeline- und Quality-Issues ist definiert und wird angewendet.</t>
  </si>
  <si>
    <t>Abnahmeprozess mit Kundenunterschrift ist definiert; Abnahme binnen 3 Werktagen nach Konsolidierung wird angestrebt.</t>
  </si>
  <si>
    <t>Rechnungsgrundlagen für Buchhaltung werden binnen 1 Werktag nach Abnahme übergeben. OFFER-Aktualisierung wird binnen 1 Werktag vorgenommen.</t>
  </si>
  <si>
    <t>Abnahmeprotokolle und Leistungsnachweise sind dokumentiert und archiviert.</t>
  </si>
  <si>
    <t>ITIL v4-konforme Prozesse (Incident, Problem, Request, Event, Access) sind implementiert und dokumentiert.</t>
  </si>
  <si>
    <t>Runbooks und Operations-Dokumentation sind aktuell und getestet.</t>
  </si>
  <si>
    <t>Service-Performance-Dashboard mit KPIs und Trend-Analysen ist verfügbar und werden bei Bedarf zur Maßnahmenableitung verwendet.</t>
  </si>
  <si>
    <t>Templates und Tools werden in der aktuellsten Variante verwendet.</t>
  </si>
  <si>
    <t>Identifizierte Claim-Potenziale werden im Rahmen des Claim &amp; Change Management betrachtet.</t>
  </si>
  <si>
    <t>Konkrete Optimierungsempfehlungen sind abgeleitet und priorisiert.</t>
  </si>
  <si>
    <t>Finale Abnahme aller Liefergegenstände durch den Kunden ist dokumentiert.</t>
  </si>
  <si>
    <t>Finale Abrechnung und Rechnungsstellung sind abgeschlossen bzw. geplant.</t>
  </si>
  <si>
    <t>Kundenzufriedenheit (z. B. Umfrage, Abschlussgespräch) ist erfasst.</t>
  </si>
  <si>
    <t>Lessons-Learned-Workshop wurde durchgeführt; Ergebnisse sind dokumentiert.</t>
  </si>
  <si>
    <t>Sales Learnings (Aufwandsschätzung, Angebotsoptimierung) sind dokumentiert und übergeben.</t>
  </si>
  <si>
    <t>Blueprint Improvement Empfehlungen sind erstellt und an Blueprint-Owner übergeben.</t>
  </si>
  <si>
    <t>Schätzungsvariante (A: Matrixbasiert oder B: Toolunterstützt) ist festgelegt und im Projekt etabliert.</t>
  </si>
  <si>
    <t>Vertragliche Schätzvorgaben (Referenzstories, Komplexitätskriterien, ggf. Schätzmatrix oder Komplexitätsskala/Gewichtungen) sind dokumentiert und vom Team genutzt.</t>
  </si>
  <si>
    <t>DoR erfüllt: Produktdokumentation (Zielgruppen, Hauptfunktionen, Rahmen) liegt vor.</t>
  </si>
  <si>
    <t>Personas</t>
  </si>
  <si>
    <t>(Optional) Research-Quellen sind verfügbar bzw. der Zugriff ist geklärt (datenschutzkonform).</t>
  </si>
  <si>
    <t>Kontext- und Accessibility-Kriterien sind definiert (z. B. technische Rahmenbedingungen, Barrieren).</t>
  </si>
  <si>
    <t>Research-Plan bzw. Sampling (bei Primärforschung) ist dokumentiert.</t>
  </si>
  <si>
    <t>Bei Primärforschung: Einwilligungen/Datenschutzfreigaben (z. B. DSGVO/DSB/Legal) sind geklärt und dokumentiert.</t>
  </si>
  <si>
    <t>Persona-Steckbriefe existieren mit Zielen, Needs, Pain Points und Kontext.</t>
  </si>
  <si>
    <t>Personas sind evidenzbasiert (nicht nur Annahmen) und die Herleitung ist nachvollziehbar.</t>
  </si>
  <si>
    <t>Accessibility und Barrieren sind berücksichtigt.</t>
  </si>
  <si>
    <t>Research-Log bzw. Herleitung der Personas ist nachvollziehbar dokumentiert.</t>
  </si>
  <si>
    <t>Traceability ist vorhanden: Personas sind den Hauptfunktionen und (sofern vorhanden) Anwendungsfällen/Use Cases zugeordnet.</t>
  </si>
  <si>
    <t>Review/Abnahme der Personas wurde durchgeführt.</t>
  </si>
  <si>
    <t>DoD des Moduls ist erfüllt.</t>
  </si>
  <si>
    <t>DoR erfüllt: Produktdokumentation und Personas sind als Input vorhanden.</t>
  </si>
  <si>
    <t>Anwendungsfälle</t>
  </si>
  <si>
    <t>Anwendungsfälle sind aus den Hauptfunktionen abgeleitet; pro Funktion max. ein Use Case.</t>
  </si>
  <si>
    <t>Jedem Anwendungsfall ist ein Akteur (Persona/System) zugeordnet.</t>
  </si>
  <si>
    <t>UML-Anwendungsfalldiagramme sind vorhanden.</t>
  </si>
  <si>
    <r>
      <t xml:space="preserve">Tabellarische Beschreibungen der Anwendungsfälle folgen dem </t>
    </r>
    <r>
      <rPr>
        <sz val="10"/>
        <color theme="1"/>
        <rFont val="Arial Unicode MS"/>
        <family val="2"/>
      </rPr>
      <t>anwendungsfaelle-template.md</t>
    </r>
    <r>
      <rPr>
        <sz val="11"/>
        <color theme="1"/>
        <rFont val="Arial"/>
        <family val="2"/>
      </rPr>
      <t>.</t>
    </r>
  </si>
  <si>
    <t>Review/Abnahme der Anwendungsfälle wurde durchgeführt.</t>
  </si>
  <si>
    <t>DoR erfüllt: Personas, Anwendungsfälle, Styleguide und ggf. Design-System liegen vor.</t>
  </si>
  <si>
    <t>UI-Mockups</t>
  </si>
  <si>
    <t>Styleguide-Vorrang (intern/Kunde) ist geklärt; Compliance wird eingehalten.</t>
  </si>
  <si>
    <t>LoFi- bis HiFi-Mockups sind für die relevanten Anwendungsfälle erstellt.</t>
  </si>
  <si>
    <t>Accessibility-Checks (Kontrast, Fokus, Touch-Targets, A11y) sind durchgeführt.</t>
  </si>
  <si>
    <t>Komponenten-Mapping, Redlines/Inspect für die Umsetzung sind vorhanden.</t>
  </si>
  <si>
    <t>Review und fachliche Abnahme der Mockups wurden durchgeführt.</t>
  </si>
  <si>
    <t>Umsetzungsübergabe an Entwicklung ist dokumentiert.</t>
  </si>
  <si>
    <t>DoR erfüllt: Produktdokumentation, Anwendungsfälle, Personas (ggf. UI-Mockups) liegen vor.</t>
  </si>
  <si>
    <t>Prozesse</t>
  </si>
  <si>
    <t>100 % Abdeckung: Alle Hauptfunktionen sind durch Anwendungsfälle abgedeckt.</t>
  </si>
  <si>
    <t>Use-Case-zu-Prozess-Mapping ist nachvollziehbar.</t>
  </si>
  <si>
    <t>Prozessmodell (UML-Aktivitätsdiagramm) ist vorhanden und technologieneutral.</t>
  </si>
  <si>
    <t>Tabellarische Prozessbeschreibungen folgen dem Template.</t>
  </si>
  <si>
    <t>Haupt- und relevante Alternativflüsse sind modelliert.</t>
  </si>
  <si>
    <t>Review/Abnahme des Prozessmodells wurde durchgeführt.</t>
  </si>
  <si>
    <t>DoR erfüllt: Anwendungsfälle, Prozessmodell und Glossar liegen vor.</t>
  </si>
  <si>
    <t>Domänenobjekte</t>
  </si>
  <si>
    <t>Begriffsliste inkl. Beispiele und Sonderfälle ist erhoben.</t>
  </si>
  <si>
    <t>Domänenobjekte und Beziehungen sind definiert.</t>
  </si>
  <si>
    <t>Konzeptionelles ERD (z. B. PlantUML) ist vorhanden.</t>
  </si>
  <si>
    <t>Domänenobjektbeschreibungen sind dokumentiert.</t>
  </si>
  <si>
    <t>Glossar wurde um Domänenbegriffe erweitert.</t>
  </si>
  <si>
    <t>Abnahme durch System Architect und PO wurde durchgeführt.</t>
  </si>
  <si>
    <t>DoR erfüllt: Produktbeschreibung, Prozessmodell, Personas, ggf. SLAs/Compliance liegen vor.</t>
  </si>
  <si>
    <t>Qualitätsanforderungen</t>
  </si>
  <si>
    <r>
      <t>Qualitätskriterien-Katalog (</t>
    </r>
    <r>
      <rPr>
        <sz val="10"/>
        <color theme="1"/>
        <rFont val="Arial Unicode MS"/>
        <family val="2"/>
      </rPr>
      <t>quality-criteria.md</t>
    </r>
    <r>
      <rPr>
        <sz val="11"/>
        <color theme="1"/>
        <rFont val="Arial"/>
        <family val="2"/>
      </rPr>
      <t>) wurde genutzt.</t>
    </r>
  </si>
  <si>
    <t>Pre-Alignment zu Qualitätsthemen wurde durchgeführt.</t>
  </si>
  <si>
    <t>Q-Storming (Workshop) wurde vorbereitet und durchgeführt.</t>
  </si>
  <si>
    <t>Qualitätsanforderungen sind mit Zielwerten und Messpunkt dokumentiert.</t>
  </si>
  <si>
    <t>Priorisierung der Qualitätsanforderungen ist erfolgt.</t>
  </si>
  <si>
    <t>Abnahme des Qualitätskatalogs wurde durchgeführt.</t>
  </si>
  <si>
    <t>DoR erfüllt: Prozessmodell und Anwendungsfälle liegen vor.</t>
  </si>
  <si>
    <t>Systemkontext</t>
  </si>
  <si>
    <t>Kontextdiagramm existiert mit System (Black Box), Clients (links) und externen Systemen (rechts).</t>
  </si>
  <si>
    <t>Interaktionen zwischen System, Clients und externen Systemen sind beschriftet.</t>
  </si>
  <si>
    <t>Validierung/Freigabe des Systemkontexts wurde durchgeführt.</t>
  </si>
  <si>
    <t>DoR erfüllt: Prozesse, Anwendungsfälle, Qualitätsanforderungen, Domänenobjekte, Rahmenbedingungen, Systemkontext liegen vor.</t>
  </si>
  <si>
    <t>Statische Containersicht</t>
  </si>
  <si>
    <t>Alle fachlichen Funktionen sind auf Container verteilt.</t>
  </si>
  <si>
    <t>Verantwortung und Datenbesitz (Source of Record, SoR) pro Container sind definiert.</t>
  </si>
  <si>
    <t>Verbindungen zwischen Containern sind aus dem Prozess abgeleitet.</t>
  </si>
  <si>
    <t>ADRs für wesentliche Architekturentscheidungen der Containersicht sind vorhanden.</t>
  </si>
  <si>
    <t>Vollständigkeitsprüfung (Funktionen ↔ Container) wurde durchgeführt.</t>
  </si>
  <si>
    <t>Validierung/Freigabe der statischen Containersicht wurde durchgeführt.</t>
  </si>
  <si>
    <t>DoR erfüllt: Statische Containersicht, Anwendungsfälle und Prozesse liegen vor.</t>
  </si>
  <si>
    <t>Dynamische Containersicht</t>
  </si>
  <si>
    <t>Sequenzdiagramm(e) existieren pro relevantem Use Case (Happy Path + relevante Alternativen).</t>
  </si>
  <si>
    <t>Operationen sind nummeriert und benannt.</t>
  </si>
  <si>
    <t>Abgleich statische ↔ dynamische Containersicht ist dokumentiert.</t>
  </si>
  <si>
    <t>DoR erfüllt: Dynamische Containersicht, Datenmodell, Qualitätsanforderungen liegen vor.</t>
  </si>
  <si>
    <t>OpenAPI 3.x (synchron) und/oder AsyncAPI 3.x (asynchron) pro Schnittstelle sind vorhanden.</t>
  </si>
  <si>
    <t>Operationen, DTOs, Validierung und fachliche Fehler sind spezifiziert.</t>
  </si>
  <si>
    <t>Markdown-Übersicht pro Container existiert.</t>
  </si>
  <si>
    <t>Traceability Use Case → Operationen → Container → Qualitätsanforderungen ist dokumentiert.</t>
  </si>
  <si>
    <t>DoR erfüllt: Domänenobjekte, statische/dynamische Containersicht, Qualitätsanforderungen liegen vor.</t>
  </si>
  <si>
    <t>Datenmodell</t>
  </si>
  <si>
    <t>SoR-Matrix und Consumer-Matrix sind erstellt.</t>
  </si>
  <si>
    <t>Zugriffsmatrix (wer liest/schreibt welche Daten) ist vorhanden.</t>
  </si>
  <si>
    <t>Logisches Datenmodell pro Container ist dokumentiert.</t>
  </si>
  <si>
    <t>Speicherkonzept (inkl. Kategorie und Begründung) pro Container ist festgelegt.</t>
  </si>
  <si>
    <t>TDR/ADR für Speicher-Entscheidungen sind vorhanden.</t>
  </si>
  <si>
    <t>DoR erfüllt: Systemmodell, Qualitätsanforderungen, Prozessmodell, Produktbeschreibung, Schnittstellendesign liegen vor.</t>
  </si>
  <si>
    <t>Technologieauswahl</t>
  </si>
  <si>
    <t>Randbedingungen und Bewertungskriterien sind dokumentiert.</t>
  </si>
  <si>
    <t>Kandidaten wurden recherchiert und bewertet.</t>
  </si>
  <si>
    <t>Durchstich/Prototyp für Top-Kandidaten (wo sinnvoll) wurde durchgeführt.</t>
  </si>
  <si>
    <t>Technologie-Entscheidungen sind mit ADRs dokumentiert.</t>
  </si>
  <si>
    <r>
      <t xml:space="preserve">Dokumentation folgt dem </t>
    </r>
    <r>
      <rPr>
        <sz val="10"/>
        <color theme="1"/>
        <rFont val="Arial Unicode MS"/>
        <family val="2"/>
      </rPr>
      <t>technologieauswahl-template.md</t>
    </r>
    <r>
      <rPr>
        <sz val="11"/>
        <color theme="1"/>
        <rFont val="Arial"/>
        <family val="2"/>
      </rPr>
      <t xml:space="preserve"> bzw. ist konsistent damit.</t>
    </r>
  </si>
  <si>
    <t>Kontinuierliche Überprüfung der Technologieentscheidungen ist geplant/etabliert.</t>
  </si>
  <si>
    <t>DoD/Review des Moduls ist erfüllt.</t>
  </si>
  <si>
    <t>DoR erfüllt: Systemmodell, Schnittstellendesign, Prozess (optional Datenmodell) liegen vor.</t>
  </si>
  <si>
    <t>Statisches Moduldesign</t>
  </si>
  <si>
    <t>Schnittstellen- und Adapter-Module sind den Konventionen zugeordnet.</t>
  </si>
  <si>
    <t>Fachliche Anwendungsmodule sind geschnitten und dokumentiert.</t>
  </si>
  <si>
    <t>Namens-, Paket- und Adapter-Konventionen sind dokumentiert.</t>
  </si>
  <si>
    <t>Modul-Diagramme je Container sind vorhanden.</t>
  </si>
  <si>
    <t>Modulliste mit Verantwortungen ist erstellt.</t>
  </si>
  <si>
    <t>Review/Abnahme des statischen Moduldesigns wurde durchgeführt.</t>
  </si>
  <si>
    <t>DoR erfüllt: Anwendungsfälle, Prozess, Systemmodell, statisches Moduldesign liegen vor.</t>
  </si>
  <si>
    <t>Dynamisches Moduldesign</t>
  </si>
  <si>
    <t>Ablauf-/Sequenzdiagramme pro relevantem Use Case existieren (Modulsicht).</t>
  </si>
  <si>
    <t>Operationen/Kanten mit Richtung, Semantik und Protokoll sind benannt.</t>
  </si>
  <si>
    <t>Abgleich statisches ↔ dynamisches Moduldesign ist dokumentiert.</t>
  </si>
  <si>
    <t>Gewählte Sicht (Container vs. Modul) ist dokumentiert.</t>
  </si>
  <si>
    <t>DoR erfüllt: Fachliche Spec, Qualitätskatalog, Technologieauswahl, API-Guidelines liegen vor.</t>
  </si>
  <si>
    <t>Schnittstellen (technisch)</t>
  </si>
  <si>
    <t>Technische Anreicherung (Pagination, Auth, Header, Versionierung, Monitoring etc.) ist in den Specs umgesetzt.</t>
  </si>
  <si>
    <t>Relevante Qualitätsanforderungen sind auf die Schnittstellen abgebildet.</t>
  </si>
  <si>
    <t>API-Guidelines sind angewendet.</t>
  </si>
  <si>
    <t>QA-Traceability-Dokumentation (Qualitätsanforderungen ↔ Schnittstellen) ist vorhanden.</t>
  </si>
  <si>
    <t>Review der technischen Schnittstellenspezifikation wurde durchgeführt.</t>
  </si>
  <si>
    <t>DoR erfüllt: Systemmodell, Produktbeschreibung, Moduldesign, Technologieauswahl, Qualitätsanforderungen liegen vor.</t>
  </si>
  <si>
    <t>Infrastrukturmodell</t>
  </si>
  <si>
    <t>Mapping Container ↔ Infrastrukturkomponente ist dokumentiert.</t>
  </si>
  <si>
    <t>Infrastrukturcluster sind gebildet und dokumentiert.</t>
  </si>
  <si>
    <t>IT-Netzbereiche/Zonierung sind definiert.</t>
  </si>
  <si>
    <t>Kommunikationsbeziehungen zwischen Komponenten/Clustern sind dokumentiert.</t>
  </si>
  <si>
    <t>Infrastrukturmodell ist konsistent mit Containersicht und Technologieauswahl.</t>
  </si>
  <si>
    <t>Review und Versionierung des Infrastrukturmodells sind durchgeführt.</t>
  </si>
  <si>
    <t>DoR erfüllt: Infrastrukturmodell, Containersicht, Technologieauswahl, Qualitätsanforderungen liegen vor.</t>
  </si>
  <si>
    <t>Deploymentmodell</t>
  </si>
  <si>
    <t>Deployment-Spezifikation je Umgebung (z. B. Dev, Test, Prod) ist vorhanden.</t>
  </si>
  <si>
    <t>Platzierungsmatrix (Container → Cluster/Namespace) ist erstellt.</t>
  </si>
  <si>
    <t>Ressourcen- und Betriebsparameter (z. B. Limits, Replicas) sind definiert.</t>
  </si>
  <si>
    <t>Netz- und Exposure-Themen (Ingress, Service-Mesh etc.) sind geklärt.</t>
  </si>
  <si>
    <t>Rollout-Strategie inkl. Rollback ist dokumentiert.</t>
  </si>
  <si>
    <t>Deployment-View ist konsistent zum Infrastrukturmodell.</t>
  </si>
  <si>
    <t>Validierung/Review und DoD des Moduls sind erfüllt.</t>
  </si>
  <si>
    <t xml:space="preserve">Für DevOps wird das folgende Template ausgefüllt: </t>
  </si>
  <si>
    <t>an einem Ort ist, was zum Blueprint-Assesment zählt</t>
  </si>
  <si>
    <t xml:space="preserve">Das Ergebnis des Templates soll dann entsprechend neben dieser Excel Datei gespeichert und entsprechend Versioniert werden. </t>
  </si>
  <si>
    <t>Projektinitialisierung</t>
  </si>
  <si>
    <t>Capacity Management</t>
  </si>
  <si>
    <t>Schätzen</t>
  </si>
  <si>
    <t>Transition-In</t>
  </si>
  <si>
    <t>Operations Setup</t>
  </si>
  <si>
    <t>PI Planning &amp; Scope Definition</t>
  </si>
  <si>
    <t>Rendite Controlling</t>
  </si>
  <si>
    <t>Delivery</t>
  </si>
  <si>
    <t>Test &amp; Quality Management</t>
  </si>
  <si>
    <t>Progress Tracking &amp; Performance Monitoring</t>
  </si>
  <si>
    <t>Service Validation &amp; Operation Readiness</t>
  </si>
  <si>
    <t>Risk Management</t>
  </si>
  <si>
    <t>Claim &amp; Change Management</t>
  </si>
  <si>
    <t>Stakeholder Reporting &amp; Communication</t>
  </si>
  <si>
    <t>Abrechnung</t>
  </si>
  <si>
    <t>Service Operations Delivery Management</t>
  </si>
  <si>
    <t>Blueprint Compliance Assessment</t>
  </si>
  <si>
    <t>Project Conclusion</t>
  </si>
  <si>
    <t>Cultural Awareness Schulung wurde durchgeführt</t>
  </si>
  <si>
    <t>Bedarf nach Englisch-Sprachkurs geklärt</t>
  </si>
  <si>
    <t>Kommunikationsregeln sind vereinbart</t>
  </si>
  <si>
    <t>Meetingregeln sind vereinbart</t>
  </si>
  <si>
    <t>Entwicklungsrichtlinien sind vereinbart</t>
  </si>
  <si>
    <t>Shoring-KPIs definiert &amp; regelmäßige Prüfung eingeplant</t>
  </si>
  <si>
    <t>1 Shoringverantwortlicher im Team (für Regelsyncs mit Shoring, CultureConnect Teilnahme, Stimmung im Team)</t>
  </si>
  <si>
    <t>Eskalationswege sind bekannt</t>
  </si>
  <si>
    <t>Enablement für interkulturelle Zusammenarbeit</t>
  </si>
  <si>
    <t>Gemeinsame Spielregeln vereinbaren</t>
  </si>
  <si>
    <t>Messmethoden / KPIs zur Bewertung des Shoring-Erfolgs</t>
  </si>
  <si>
    <t>Eskalation mit Shoringpartner</t>
  </si>
  <si>
    <t>STQB-Report</t>
  </si>
  <si>
    <t xml:space="preserve">   Shoring</t>
  </si>
  <si>
    <t>DevOps</t>
  </si>
  <si>
    <t>KI</t>
  </si>
  <si>
    <t>z.B: Shoring Blueprint in einem nicht Shoring-Projekt</t>
  </si>
  <si>
    <t>Erklärung</t>
  </si>
  <si>
    <t>Arbeitsablauf (Workflow)</t>
  </si>
  <si>
    <t>1. PLAN-Stand festlegen (Referenz)</t>
  </si>
  <si>
    <t>2. Vorlage für IST-Blätter</t>
  </si>
  <si>
    <t>Wichtig – Verknüpfung mit „Erfüllungsgrad“:</t>
  </si>
  <si>
    <t>4. IST-Stand erfassen</t>
  </si>
  <si>
    <t>5. DevOps Compliance</t>
  </si>
  <si>
    <t>STQB</t>
  </si>
  <si>
    <t>Status - PLAN-Stand</t>
  </si>
  <si>
    <t>Status - IST-Stand</t>
  </si>
  <si>
    <t>In Q2 2026 wird vorraussichtlich ein automatisiertes Tool folgen und die Excel ablösen, wodurch DevOps auch direkt integriert wird, sodass alles</t>
  </si>
  <si>
    <t>1. STQB Werte</t>
  </si>
  <si>
    <t>Die Werte für das STQB-Jira werden in demTabellenblatt "Erfüllungsgrad" ab Zeile 42 angezeigt.</t>
  </si>
  <si>
    <t>Diese können dann in das Jira-Ticket entsprechend übernommen werden</t>
  </si>
  <si>
    <t>3. Die Vorlage wird kopiert.</t>
  </si>
  <si>
    <r>
      <t xml:space="preserve">Die Basis für jedes Projekt ist der </t>
    </r>
    <r>
      <rPr>
        <b/>
        <sz val="11"/>
        <color theme="1"/>
        <rFont val="Arial"/>
        <family val="2"/>
      </rPr>
      <t>BluePrint</t>
    </r>
    <r>
      <rPr>
        <sz val="11"/>
        <color theme="1"/>
        <rFont val="Arial"/>
        <family val="2"/>
      </rPr>
      <t>, der die vollständige Umsetzung beschreibt und idealerweise zu 100 % realisiert werden soll.</t>
    </r>
  </si>
  <si>
    <r>
      <t xml:space="preserve">Aus diesem Blueprint wird der </t>
    </r>
    <r>
      <rPr>
        <b/>
        <sz val="11"/>
        <color theme="1"/>
        <rFont val="Arial"/>
        <family val="2"/>
      </rPr>
      <t>PLAN-Stand</t>
    </r>
    <r>
      <rPr>
        <sz val="11"/>
        <color theme="1"/>
        <rFont val="Arial"/>
        <family val="2"/>
      </rPr>
      <t xml:space="preserve"> abgeleitet – eine angepasste Version, die während der Angebots- und Verhandlungsphase definiert und vertraglich festgelegt wird.</t>
    </r>
  </si>
  <si>
    <r>
      <t>BluePrint</t>
    </r>
    <r>
      <rPr>
        <sz val="11"/>
        <color theme="1"/>
        <rFont val="Arial"/>
        <family val="2"/>
      </rPr>
      <t>: Standardvorgabe für die Projektumsetzung, Ziel ist eine vollständige Realisierung.</t>
    </r>
  </si>
  <si>
    <r>
      <t>PLAN-Stand</t>
    </r>
    <r>
      <rPr>
        <sz val="11"/>
        <color theme="1"/>
        <rFont val="Arial"/>
        <family val="2"/>
      </rPr>
      <t>: Angepasste Version des BluePrints (Tailoring), die während der Angebots- und Verhandlungsphase festgelegt wird.</t>
    </r>
  </si>
  <si>
    <r>
      <t>IST-Stand</t>
    </r>
    <r>
      <rPr>
        <sz val="11"/>
        <color theme="1"/>
        <rFont val="Arial"/>
        <family val="2"/>
      </rPr>
      <t>: Tatsächlich erreichte Werte während der Projektlaufzeit.</t>
    </r>
  </si>
  <si>
    <r>
      <t>Erfüllungsgrad</t>
    </r>
    <r>
      <rPr>
        <sz val="11"/>
        <color theme="1"/>
        <rFont val="Arial"/>
        <family val="2"/>
      </rPr>
      <t>: Vergleich zwischen PLAN und IST über die gesamte Projektlaufzeit.</t>
    </r>
  </si>
  <si>
    <r>
      <t>Compliance Check</t>
    </r>
    <r>
      <rPr>
        <sz val="11"/>
        <color theme="1"/>
        <rFont val="Arial"/>
        <family val="2"/>
      </rPr>
      <t>: Regelmäßige Erfassung des IST-Standes und Abgleich mit dem PLAN-Stand.</t>
    </r>
  </si>
  <si>
    <r>
      <t xml:space="preserve">Zuerst wird der </t>
    </r>
    <r>
      <rPr>
        <b/>
        <sz val="11"/>
        <color theme="1"/>
        <rFont val="Arial"/>
        <family val="2"/>
      </rPr>
      <t>PLAN-Stand</t>
    </r>
    <r>
      <rPr>
        <sz val="11"/>
        <color theme="1"/>
        <rFont val="Arial"/>
        <family val="2"/>
      </rPr>
      <t xml:space="preserve"> ermittelt und im Tabellenblatt „</t>
    </r>
    <r>
      <rPr>
        <b/>
        <sz val="11"/>
        <color theme="1"/>
        <rFont val="Arial"/>
        <family val="2"/>
      </rPr>
      <t>Plan Stand</t>
    </r>
    <r>
      <rPr>
        <sz val="11"/>
        <color theme="1"/>
        <rFont val="Arial"/>
        <family val="2"/>
      </rPr>
      <t>“ ausgefüllt. Dieser Stand gilt als Referenz für alle späteren IST-Erfassungen.</t>
    </r>
  </si>
  <si>
    <r>
      <t xml:space="preserve">Alle Punkte, die </t>
    </r>
    <r>
      <rPr>
        <b/>
        <sz val="11"/>
        <color theme="1"/>
        <rFont val="Arial"/>
        <family val="2"/>
      </rPr>
      <t>erfüllt</t>
    </r>
    <r>
      <rPr>
        <sz val="11"/>
        <color theme="1"/>
        <rFont val="Arial"/>
        <family val="2"/>
      </rPr>
      <t xml:space="preserve"> sind</t>
    </r>
  </si>
  <si>
    <r>
      <t xml:space="preserve">Der jeweilige Punkt soll </t>
    </r>
    <r>
      <rPr>
        <b/>
        <sz val="11"/>
        <color theme="1"/>
        <rFont val="Arial"/>
        <family val="2"/>
      </rPr>
      <t>wie im Blueprint</t>
    </r>
    <r>
      <rPr>
        <sz val="11"/>
        <color theme="1"/>
        <rFont val="Arial"/>
        <family val="2"/>
      </rPr>
      <t xml:space="preserve"> beschrieben </t>
    </r>
    <r>
      <rPr>
        <b/>
        <sz val="11"/>
        <color theme="1"/>
        <rFont val="Arial"/>
        <family val="2"/>
      </rPr>
      <t xml:space="preserve">umgesetzt </t>
    </r>
    <r>
      <rPr>
        <sz val="11"/>
        <color theme="1"/>
        <rFont val="Arial"/>
        <family val="2"/>
      </rPr>
      <t>werden</t>
    </r>
  </si>
  <si>
    <r>
      <t xml:space="preserve">Alle Punkte, die </t>
    </r>
    <r>
      <rPr>
        <b/>
        <sz val="11"/>
        <color theme="1"/>
        <rFont val="Arial"/>
        <family val="2"/>
      </rPr>
      <t>teilweise</t>
    </r>
    <r>
      <rPr>
        <sz val="11"/>
        <color theme="1"/>
        <rFont val="Arial"/>
        <family val="2"/>
      </rPr>
      <t xml:space="preserve"> erfüllt sind</t>
    </r>
  </si>
  <si>
    <r>
      <t xml:space="preserve">Der jeweilige Punkt soll </t>
    </r>
    <r>
      <rPr>
        <b/>
        <sz val="11"/>
        <color theme="1"/>
        <rFont val="Arial"/>
        <family val="2"/>
      </rPr>
      <t>teilweise</t>
    </r>
    <r>
      <rPr>
        <sz val="11"/>
        <color theme="1"/>
        <rFont val="Arial"/>
        <family val="2"/>
      </rPr>
      <t xml:space="preserve"> nach dem Blueprint </t>
    </r>
    <r>
      <rPr>
        <b/>
        <sz val="11"/>
        <color theme="1"/>
        <rFont val="Arial"/>
        <family val="2"/>
      </rPr>
      <t>umgesetzt</t>
    </r>
    <r>
      <rPr>
        <sz val="11"/>
        <color theme="1"/>
        <rFont val="Arial"/>
        <family val="2"/>
      </rPr>
      <t xml:space="preserve"> werden (Tailoringhinweis ergänzen)</t>
    </r>
  </si>
  <si>
    <r>
      <t xml:space="preserve">Alle Punkte, die </t>
    </r>
    <r>
      <rPr>
        <b/>
        <sz val="11"/>
        <color theme="1"/>
        <rFont val="Arial"/>
        <family val="2"/>
      </rPr>
      <t xml:space="preserve">nicht </t>
    </r>
    <r>
      <rPr>
        <sz val="11"/>
        <color theme="1"/>
        <rFont val="Arial"/>
        <family val="2"/>
      </rPr>
      <t>erfüllt sind</t>
    </r>
  </si>
  <si>
    <r>
      <t xml:space="preserve">Der jeweilige Punkt wird </t>
    </r>
    <r>
      <rPr>
        <b/>
        <sz val="11"/>
        <color theme="1"/>
        <rFont val="Arial"/>
        <family val="2"/>
      </rPr>
      <t>abweichend</t>
    </r>
    <r>
      <rPr>
        <sz val="11"/>
        <color theme="1"/>
        <rFont val="Arial"/>
        <family val="2"/>
      </rPr>
      <t xml:space="preserve"> zum Blueprint </t>
    </r>
    <r>
      <rPr>
        <b/>
        <sz val="11"/>
        <color theme="1"/>
        <rFont val="Arial"/>
        <family val="2"/>
      </rPr>
      <t xml:space="preserve">umgesetzt </t>
    </r>
    <r>
      <rPr>
        <sz val="11"/>
        <color theme="1"/>
        <rFont val="Arial"/>
        <family val="2"/>
      </rPr>
      <t>(Tailoringhinweis ergänzen)</t>
    </r>
  </si>
  <si>
    <r>
      <t xml:space="preserve">Alle Punkte, die im </t>
    </r>
    <r>
      <rPr>
        <b/>
        <sz val="11"/>
        <color theme="1"/>
        <rFont val="Arial"/>
        <family val="2"/>
      </rPr>
      <t>Projekt nicht benötig</t>
    </r>
    <r>
      <rPr>
        <sz val="11"/>
        <color theme="1"/>
        <rFont val="Arial"/>
        <family val="2"/>
      </rPr>
      <t>t werden</t>
    </r>
  </si>
  <si>
    <r>
      <t>Aus „</t>
    </r>
    <r>
      <rPr>
        <b/>
        <sz val="11"/>
        <color theme="1"/>
        <rFont val="Arial"/>
        <family val="2"/>
      </rPr>
      <t>Plan Stand</t>
    </r>
    <r>
      <rPr>
        <sz val="11"/>
        <color theme="1"/>
        <rFont val="Arial"/>
        <family val="2"/>
      </rPr>
      <t>“ wird die Spalte „</t>
    </r>
    <r>
      <rPr>
        <b/>
        <sz val="11"/>
        <color theme="1"/>
        <rFont val="Arial"/>
        <family val="2"/>
      </rPr>
      <t>Plan-Status</t>
    </r>
    <r>
      <rPr>
        <sz val="11"/>
        <color theme="1"/>
        <rFont val="Arial"/>
        <family val="2"/>
      </rPr>
      <t xml:space="preserve">“ in das Blatt "IST Stand &lt;Datum&gt; " kopiert. Dieses Blatt dient als </t>
    </r>
    <r>
      <rPr>
        <b/>
        <sz val="11"/>
        <color theme="1"/>
        <rFont val="Arial"/>
        <family val="2"/>
      </rPr>
      <t>Vorlage</t>
    </r>
    <r>
      <rPr>
        <sz val="11"/>
        <color theme="1"/>
        <rFont val="Arial"/>
        <family val="2"/>
      </rPr>
      <t xml:space="preserve"> für wiederkehrende IST-Erfassungen.</t>
    </r>
  </si>
  <si>
    <r>
      <t>Datum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Quartal</t>
    </r>
    <r>
      <rPr>
        <sz val="11"/>
        <color theme="1"/>
        <rFont val="Arial"/>
        <family val="2"/>
      </rPr>
      <t xml:space="preserve"> oder </t>
    </r>
    <r>
      <rPr>
        <b/>
        <sz val="11"/>
        <color theme="1"/>
        <rFont val="Arial"/>
        <family val="2"/>
      </rPr>
      <t>Monat</t>
    </r>
    <r>
      <rPr>
        <sz val="11"/>
        <color theme="1"/>
        <rFont val="Arial"/>
        <family val="2"/>
      </rPr>
      <t xml:space="preserve"> werden im Blattnamen </t>
    </r>
    <r>
      <rPr>
        <b/>
        <sz val="11"/>
        <color theme="1"/>
        <rFont val="Arial"/>
        <family val="2"/>
      </rPr>
      <t>manuell</t>
    </r>
    <r>
      <rPr>
        <sz val="11"/>
        <color theme="1"/>
        <rFont val="Arial"/>
        <family val="2"/>
      </rPr>
      <t xml:space="preserve"> eingetragen (einheitliche Benennung, z. B. </t>
    </r>
    <r>
      <rPr>
        <sz val="10"/>
        <color theme="1"/>
        <rFont val="Arial"/>
        <family val="2"/>
      </rPr>
      <t>IST Stand 2026-Q1</t>
    </r>
    <r>
      <rPr>
        <sz val="11"/>
        <color theme="1"/>
        <rFont val="Arial"/>
        <family val="2"/>
      </rPr>
      <t>)</t>
    </r>
  </si>
  <si>
    <r>
      <t xml:space="preserve">Im Tabellenblatt </t>
    </r>
    <r>
      <rPr>
        <b/>
        <sz val="11"/>
        <color theme="1"/>
        <rFont val="Arial"/>
        <family val="2"/>
      </rPr>
      <t>„Erfüllungsgrad“</t>
    </r>
    <r>
      <rPr>
        <sz val="11"/>
        <color theme="1"/>
        <rFont val="Arial"/>
        <family val="2"/>
      </rPr>
      <t xml:space="preserve"> muss in </t>
    </r>
    <r>
      <rPr>
        <b/>
        <sz val="11"/>
        <color theme="1"/>
        <rFont val="Arial"/>
        <family val="2"/>
      </rPr>
      <t>Zeile 2</t>
    </r>
    <r>
      <rPr>
        <sz val="11"/>
        <color theme="1"/>
        <rFont val="Arial"/>
        <family val="2"/>
      </rPr>
      <t xml:space="preserve"> derselbe Eintrag stehen wie der Name des IST-Blatts (z. B. </t>
    </r>
    <r>
      <rPr>
        <sz val="10"/>
        <color theme="1"/>
        <rFont val="Arial"/>
        <family val="2"/>
      </rPr>
      <t>IST Stand 2026-Q1</t>
    </r>
    <r>
      <rPr>
        <sz val="11"/>
        <color theme="1"/>
        <rFont val="Arial"/>
        <family val="2"/>
      </rPr>
      <t xml:space="preserve">). </t>
    </r>
  </si>
  <si>
    <r>
      <t xml:space="preserve">Nur wenn Blattname und Eintrag in </t>
    </r>
    <r>
      <rPr>
        <b/>
        <sz val="11"/>
        <color theme="1"/>
        <rFont val="Arial"/>
        <family val="2"/>
      </rPr>
      <t>Zeile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exakt übereinstimmen, funktionieren die Verlinkungen in der Auswertung</t>
    </r>
  </si>
  <si>
    <r>
      <t xml:space="preserve">Erst danach wird der </t>
    </r>
    <r>
      <rPr>
        <b/>
        <sz val="11"/>
        <color theme="1"/>
        <rFont val="Arial"/>
        <family val="2"/>
      </rPr>
      <t>IST-Stand</t>
    </r>
    <r>
      <rPr>
        <sz val="11"/>
        <color theme="1"/>
        <rFont val="Arial"/>
        <family val="2"/>
      </rPr>
      <t xml:space="preserve"> des Projekts fortlaufend im jeweiligen IST-Blatt dokumentiert.</t>
    </r>
  </si>
  <si>
    <r>
      <t xml:space="preserve">Der jeweilige Punkt ist </t>
    </r>
    <r>
      <rPr>
        <b/>
        <sz val="11"/>
        <color theme="1"/>
        <rFont val="Arial"/>
        <family val="2"/>
      </rPr>
      <t>wie im Blueprint</t>
    </r>
    <r>
      <rPr>
        <sz val="11"/>
        <color theme="1"/>
        <rFont val="Arial"/>
        <family val="2"/>
      </rPr>
      <t xml:space="preserve"> beschrieben </t>
    </r>
    <r>
      <rPr>
        <b/>
        <sz val="11"/>
        <color theme="1"/>
        <rFont val="Arial"/>
        <family val="2"/>
      </rPr>
      <t>umgesetzt</t>
    </r>
  </si>
  <si>
    <r>
      <t xml:space="preserve">Der jeweilige Punkt ist </t>
    </r>
    <r>
      <rPr>
        <b/>
        <sz val="11"/>
        <color theme="1"/>
        <rFont val="Arial"/>
        <family val="2"/>
      </rPr>
      <t xml:space="preserve">teilweise </t>
    </r>
    <r>
      <rPr>
        <sz val="11"/>
        <color theme="1"/>
        <rFont val="Arial"/>
        <family val="2"/>
      </rPr>
      <t>wie im Blueprint beschrieben </t>
    </r>
    <r>
      <rPr>
        <b/>
        <sz val="11"/>
        <color theme="1"/>
        <rFont val="Arial"/>
        <family val="2"/>
      </rPr>
      <t>umgesetzt</t>
    </r>
    <r>
      <rPr>
        <sz val="11"/>
        <color theme="1"/>
        <rFont val="Arial"/>
        <family val="2"/>
      </rPr>
      <t xml:space="preserve"> (Abweichung kommentieren)</t>
    </r>
  </si>
  <si>
    <r>
      <t xml:space="preserve">Der jeweilige Punkt ist </t>
    </r>
    <r>
      <rPr>
        <b/>
        <sz val="11"/>
        <color theme="1"/>
        <rFont val="Arial"/>
        <family val="2"/>
      </rPr>
      <t>nicht</t>
    </r>
    <r>
      <rPr>
        <sz val="11"/>
        <color theme="1"/>
        <rFont val="Arial"/>
        <family val="2"/>
      </rPr>
      <t xml:space="preserve"> nach Blueprint umgesetzt  (Abweichung kommentieren)</t>
    </r>
  </si>
  <si>
    <t xml:space="preserve">Hinweise zur DevOps Umfrage sind hier zu finden: </t>
  </si>
  <si>
    <t>DevOps Check-up</t>
  </si>
  <si>
    <t>DevOps Umfrage</t>
  </si>
  <si>
    <t>Umrechnung DevOps Score: Punkte = Prozentsatz (Beispiel: 4.5 Punkte = 45%)</t>
  </si>
  <si>
    <t>Werden fachliche Analysen (z. B. Stakeholder-/Problemraum, Geschäftsprozesse, Anforderungsvorbereitung) mit KI-Tools unterstützt erstellt oder überarbeitet?</t>
  </si>
  <si>
    <t>n.A. (Bezug auf Business Architecture)</t>
  </si>
  <si>
    <t>Werden Use Cases, Prozesse, Qualitätsanforderungen oder Domänenmodelle der Business Architecture mit KI-Tools unterstützt erstellt, strukturiert, überprüft oder weiterentwickelt?</t>
  </si>
  <si>
    <t>Werden Workshops oder Interviews der Business Architecture so vorbereitet oder nachbereitet, dass KI-Tools dabei regelmäßig eine Rolle spielen (z. B. Agenda, Protokoll, offene Punkte, Zusammenfassungen)?</t>
  </si>
  <si>
    <t>Werden Systemkontext, externe Akteure, Nachbarsysteme oder fachliche Schnittstellen auf Kontextebene mit KI-Tools unterstützt erarbeitet, strukturiert oder auf Vollständigkeit geprüft?</t>
  </si>
  <si>
    <t>n.A. (Bezug auf Solution Architecture)</t>
  </si>
  <si>
    <t>Werden statische oder dynamische Containersichten (z. B. Container, Bounded Contexts, Interaktionen, Datenflüsse) mit KI-Tools unterstützt entworfen, beschrieben, visualisiert oder überprüft?</t>
  </si>
  <si>
    <t>Werden Datenmodelle oder fachliche Schnittstellen/API-Verträge mit KI-Tools unterstützt aus fachlichen Anforderungen abgeleitet, konsistent beschrieben oder gegen Use Cases, Prozesse und Domänenmodell geprüft?</t>
  </si>
  <si>
    <t>Werden Architekturentscheidungen oder Lösungsalternativen auf Solution-Architecture-Ebene mit KI-Tools unterstützt vorbereitet, verglichen, begründet oder als ADR/Entscheidungsdokumentation formuliert?</t>
  </si>
  <si>
    <t>Werden Technologieentscheidungen (z. B. Frameworks, Runtimes, Betriebsformen, Libraries) mit KI-Tools unterstützt vorbereitet, verglichen, begründet oder als ADR/Entscheidungsdokumentation formuliert?</t>
  </si>
  <si>
    <t>n.A. (Bezug auf System Architecture)</t>
  </si>
  <si>
    <t>Wird das statische Moduldesign (Module, Komponenten, Verantwortlichkeiten, Abhängigkeiten) mit KI-Tools unterstützt entworfen, beschrieben, überprüft oder weiterentwickelt?</t>
  </si>
  <si>
    <t>Wird das dynamische Moduldesign (Abläufe, Sequenzen, Interaktionen auf Modulebene, z. B. für Kernpfade oder Anwendungsfälle) mit KI-Tools unterstützt entworfen, beschrieben, visualisiert oder überprüft?</t>
  </si>
  <si>
    <t>Werden technische Schnittstellen (z. B. REST, Events, Payloads, Fehlersemantik, Versionierung) mit KI-Tools unterstützt spezifiziert, geprüft oder mit den fachlichen Schnittstellen abgeglichen?</t>
  </si>
  <si>
    <t>Werden Deploymentmodell oder Infrastruktur (z. B. Umgebungen, Cluster, Netzwerke, IAM, Plattformkomponenten) mit KI-Tools unterstützt entworfen, dokumentiert, geprüft oder weiterentwickelt?</t>
  </si>
  <si>
    <t>Werden technische Reviews auf System-Architecture-Ebene mit KI-Tools unterstützt (z. B. Konsistenzprüfung zwischen Design, Schnittstellen, Deployment und Infrastruktur)?</t>
  </si>
  <si>
    <t>Wird die Zusammenarbeit am Code (z. B. Branches, Reviews, Merge Requests, Feature Flags, Dokumentation von Änderungen) mit KI-Tools unterstützt vorbereitet, überprüft oder verbessert?</t>
  </si>
  <si>
    <t>n.A. (Bezug auf DevOps)</t>
  </si>
  <si>
    <t>Werden Tests oder Teststrategien (z. B. Testfälle, Testdaten, automatisierte Tests, Quality Gates) mit KI-Tools unterstützt erstellt, ergänzt, analysiert oder überprüft?</t>
  </si>
  <si>
    <t>Werden Build- und Validierungsprozesse (z. B. CI-Pipelines, Build-Fehler, Smoke-Tests, Report-Artefakte) mit KI-Tools unterstützt erstellt, angepasst, analysiert oder debuggt?</t>
  </si>
  <si>
    <t>Werden Deploy- und Delivery-Prozesse (z. B. Deployment-Konfiguration, Infrastructure-as-Code, Umgebungen, Release-Schritte) mit KI-Tools unterstützt entworfen, angepasst, geprüft oder verbessert?</t>
  </si>
  <si>
    <t>Werden Monitoring, Logs, Metriken, Traces, Alerts oder Incidents mit KI-Tools unterstützt analysiert, zusammengefasst oder für Ursachenanalyse und Lessons Learned aufbereitet?</t>
  </si>
  <si>
    <t>Wird die kontinuierliche Verbesserung der DevOps-Praxis (z. B. Pipeline-Verbesserungen, DORA-Metriken, Efficiency Budget, wiederkehrende Pain Points) mit KI-Tools unterstützt identifiziert, priorisiert oder dokumentiert?</t>
  </si>
  <si>
    <t>Werden Projektinitialisierung, Transition In oder Operations Setup mit KI-Tools unterstützt vorbereitet, strukturiert oder dokumentiert (z. B. Ziele, Projektsetup, Übergaben, Startartefakte)?</t>
  </si>
  <si>
    <t>n.A. (Bezug auf Projekt Management)</t>
  </si>
  <si>
    <t>Werden Planung, Scope-Definition oder Capacity Management mit KI-Tools unterstützt vorbereitet, aktualisiert oder plausibilisiert (z. B. PI-/Release-Planung, Ressourcenbedarf, Skills, Verfügbarkeiten)?</t>
  </si>
  <si>
    <t>Werden Delivery-Steuerung, Progress Tracking oder Performance Monitoring mit KI-Tools unterstützt ausgewertet, zusammengefasst oder für Steuerungsentscheidungen aufbereitet?</t>
  </si>
  <si>
    <t>Werden Risiken, Changes oder Claims mit KI-Tools unterstützt identifiziert, bewertet, nachverfolgt oder für Entscheidungen vorbereitet?</t>
  </si>
  <si>
    <t>Werden Stakeholder Reporting und Projektkommunikation mit KI-Tools unterstützt erstellt, verdichtet oder zielgruppengerecht aufbereitet (z. B. Statusberichte, Management Summarys, Meeting-Zusammenfassungen)?</t>
  </si>
  <si>
    <t>Werden Qualitätsmanagement, Service Validation oder Operations Readiness mit KI-Tools unterstützt geplant, geprüft oder dokumentiert?</t>
  </si>
  <si>
    <t>Werden Budget-, Rendite- oder Abrechnungsthemen mit KI-Tools unterstützt analysiert, vorbereitet oder auf Auffälligkeiten geprüft?</t>
  </si>
  <si>
    <t>Werden Projektabschluss, Lessons Learned oder Blueprint Compliance Assessment mit KI-Tools unterstützt vorbereitet, dokumentiert oder ausgewertet?</t>
  </si>
  <si>
    <t>Gibt es im Projekt eine wiederkehrende Begutachtung von Arbeitsabläufen, um zu erkennen, welche wiederkehrenden oder aufwändigen Tätigkeiten mit KI-Tools oder Skills unterstützt werden können?</t>
  </si>
  <si>
    <t>n.A. (Bezug auf wiederkehrende Abläufe, Skills &amp; AI Skill DB)</t>
  </si>
  <si>
    <t>Werden erkannte Kandidaten für KI- oder Skill-Unterstützung dokumentiert oder priorisiert (z. B. Aufgabe, Häufigkeit, Aufwand, betroffene Rolle, erwarteter Nutzen)?</t>
  </si>
  <si>
    <t>Prüft das Team bei wiederkehrenden Aufgaben, ob in der AI Skill DB bereits ein passender Skill vorhanden ist, bevor eigene Prompts, Workarounds oder Einzellösungen genutzt werden?</t>
  </si>
  <si>
    <t>Werden Skills aus der AI Skill DB im Projekt aktiv genutzt?</t>
  </si>
  <si>
    <t>Sind genutzte Skills in konkrete Projektabläufe integriert (z. B. Business Architecture, Architecture, DevOps oder Projektmanagement) und nicht nur individuelle Einmalnutzung einzelner Personen?</t>
  </si>
  <si>
    <t>Gibt das Projektteam Rückmeldung zu genutzten Skills (z. B. Qualität, fehlende Funktionen, Fehler, Verbesserungsideen) über den vorgesehenen Prozess oder den Skill Manager?</t>
  </si>
  <si>
    <t>Bringt das Projekt eigene Skill-Ideen oder Skill-Anforderungen ein, wenn wiederkehrende Aufgaben erkannt werden, die auch für andere Projekte relevant sein können?</t>
  </si>
  <si>
    <t>Erstellt, verbessert oder pflegt das Projektteam selbst Skills und stellt diese über die AI Skill DB oder den Skill Manager anderen Projekten zur Verfügung?</t>
  </si>
  <si>
    <t>Gibt es im Projekt eine geklärte Verantwortung dafür, wer passende Skills auswählt, einführt, aktualisiert oder Rückmeldungen zur AI Skill DB gibt?</t>
  </si>
  <si>
    <t>Wird im Projekt nachvollzogen, ob eingesetzte Skills tatsächlich helfen (z. B. weniger Aufwand, bessere Qualität, schnellere Bearbeitung oder bessere Wiederholbarkeit)?</t>
  </si>
  <si>
    <t xml:space="preserve">   KI</t>
  </si>
  <si>
    <t>Schnittstellen</t>
  </si>
  <si>
    <t xml:space="preserve">   Devops*</t>
  </si>
  <si>
    <t>*Muss in Zeile 6 eingetragen werden, siehe HowTo</t>
  </si>
  <si>
    <t>Projekt-Qualitätsplan ist erstellt, mit Stakeholdern abgestimmt und referenziert das vom Solution Architect gelieferte projektspezifische Testkonzept (Modul Testing Guidelines).</t>
  </si>
  <si>
    <t>Defect-Management-Prozess (Severity/Priority-Matrix, Workflow, SLAs, Eskalationspfade) ist dokumentiert und im Task-Tracking-Tool aktiv.</t>
  </si>
  <si>
    <t>Live Quality Dashboard mit definierten KPIs ist konfiguriert und für alle Stakeholder zugänglich; automatisierte Quality Alerts sind eingerichtet.</t>
  </si>
  <si>
    <t>Bei Bedarf existieren separate Testpläne (z. B. Migration, externe Integration, Last-/Performance-, Security-, UAT-, Major-Release-Regression) mit Scope, Entry/Exit-Kriterien, Ressourcen und Stakeholder-Abstimmung.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</si>
</sst>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</font>
    <font>
      <sz val="11"/>
      <color theme="1"/>
      <name val="Arial Nova Light"/>
      <family val="2"/>
    </font>
    <font>
      <sz val="11"/>
      <color theme="0"/>
      <name val="Arial Nova"/>
      <family val="2"/>
    </font>
    <font>
      <sz val="11"/>
      <color theme="1"/>
      <name val="Arial"/>
      <family val="2"/>
    </font>
    <font>
      <sz val="11"/>
      <color theme="1"/>
      <name val="Arial Nova"/>
      <family val="2"/>
    </font>
    <font>
      <sz val="11"/>
      <color theme="0"/>
      <name val="Arial Nova Light"/>
      <family val="2"/>
    </font>
    <font>
      <sz val="11"/>
      <color theme="0"/>
      <name val="Arial Nova "/>
    </font>
    <font>
      <sz val="14"/>
      <color theme="0"/>
      <name val="Arial Nova "/>
    </font>
    <font>
      <sz val="11"/>
      <name val="Arial Nova"/>
      <family val="2"/>
    </font>
    <font>
      <sz val="11"/>
      <name val="Arial Nova Light"/>
      <family val="2"/>
    </font>
    <font>
      <sz val="11"/>
      <color theme="1"/>
      <name val="Webdings"/>
      <family val="1"/>
      <charset val="2"/>
    </font>
    <font>
      <sz val="10"/>
      <color theme="1"/>
      <name val="Arial Unicode MS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sz val="14"/>
      <color theme="0"/>
      <name val="Arial"/>
      <family val="2"/>
    </font>
    <font>
      <sz val="10"/>
      <color theme="1"/>
      <name val="Arial"/>
      <family val="2"/>
    </font>
    <font>
      <sz val="11"/>
      <color rgb="FF305496"/>
      <name val="Arial"/>
      <family val="2"/>
    </font>
    <font>
      <sz val="11"/>
      <color rgb="FFFF0000"/>
      <name val="Arial Nova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C6C6C6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5E1"/>
        <bgColor indexed="64"/>
      </patternFill>
    </fill>
    <fill>
      <patternFill patternType="solid">
        <fgColor rgb="FF6D6D6D"/>
        <bgColor indexed="64"/>
      </patternFill>
    </fill>
    <fill>
      <patternFill patternType="solid">
        <fgColor rgb="FFCDE09C"/>
        <bgColor indexed="64"/>
      </patternFill>
    </fill>
    <fill>
      <patternFill patternType="solid">
        <fgColor rgb="FFEFB0AB"/>
        <bgColor indexed="64"/>
      </patternFill>
    </fill>
    <fill>
      <patternFill patternType="solid">
        <fgColor rgb="FFFFEBA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C6C6C6"/>
      </left>
      <right/>
      <top style="thin">
        <color rgb="FFC6C6C6"/>
      </top>
      <bottom/>
      <diagonal/>
    </border>
    <border>
      <left style="mediumDashed">
        <color rgb="FF00A5E1"/>
      </left>
      <right style="mediumDashed">
        <color rgb="FF00A5E1"/>
      </right>
      <top style="mediumDashed">
        <color rgb="FF00A5E1"/>
      </top>
      <bottom style="mediumDashed">
        <color rgb="FF00A5E1"/>
      </bottom>
      <diagonal/>
    </border>
    <border>
      <left/>
      <right style="mediumDashed">
        <color rgb="FF00A5E1"/>
      </right>
      <top style="mediumDashed">
        <color rgb="FF00A5E1"/>
      </top>
      <bottom style="mediumDashed">
        <color rgb="FF00A5E1"/>
      </bottom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13">
    <xf numFmtId="0" fontId="0" fillId="0" borderId="0" xfId="0"/>
    <xf numFmtId="0" fontId="1" fillId="4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7" fillId="6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indent="1"/>
    </xf>
    <xf numFmtId="0" fontId="1" fillId="4" borderId="0" xfId="0" applyFont="1" applyFill="1"/>
    <xf numFmtId="0" fontId="1" fillId="4" borderId="0" xfId="0" applyFont="1" applyFill="1" applyAlignment="1">
      <alignment horizontal="left" indent="1"/>
    </xf>
    <xf numFmtId="0" fontId="9" fillId="4" borderId="0" xfId="0" applyFont="1" applyFill="1"/>
    <xf numFmtId="0" fontId="8" fillId="4" borderId="2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0" fontId="5" fillId="5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 indent="1"/>
    </xf>
    <xf numFmtId="0" fontId="1" fillId="3" borderId="0" xfId="0" applyFont="1" applyFill="1" applyAlignment="1">
      <alignment horizontal="right" vertical="center" indent="1"/>
    </xf>
    <xf numFmtId="9" fontId="1" fillId="3" borderId="0" xfId="1" applyFont="1" applyFill="1" applyBorder="1" applyAlignment="1">
      <alignment horizontal="right" vertical="center" indent="1"/>
    </xf>
    <xf numFmtId="0" fontId="1" fillId="4" borderId="0" xfId="0" applyFont="1" applyFill="1" applyAlignment="1">
      <alignment horizontal="right" vertical="center" indent="1"/>
    </xf>
    <xf numFmtId="0" fontId="1" fillId="3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indent="1"/>
    </xf>
    <xf numFmtId="0" fontId="7" fillId="6" borderId="0" xfId="0" applyFont="1" applyFill="1" applyAlignment="1">
      <alignment horizontal="left" vertical="center" indent="1"/>
    </xf>
    <xf numFmtId="0" fontId="8" fillId="4" borderId="3" xfId="0" applyFont="1" applyFill="1" applyBorder="1" applyAlignment="1">
      <alignment horizontal="left" vertical="center" wrapText="1" indent="1"/>
    </xf>
    <xf numFmtId="0" fontId="2" fillId="5" borderId="4" xfId="0" applyFont="1" applyFill="1" applyBorder="1" applyAlignment="1">
      <alignment horizontal="left" vertical="center" wrapText="1" indent="1"/>
    </xf>
    <xf numFmtId="9" fontId="1" fillId="3" borderId="0" xfId="1" applyFont="1" applyFill="1" applyBorder="1" applyAlignment="1">
      <alignment horizontal="right" vertical="center" wrapText="1" indent="1"/>
    </xf>
    <xf numFmtId="0" fontId="10" fillId="4" borderId="0" xfId="0" applyFont="1" applyFill="1"/>
    <xf numFmtId="0" fontId="2" fillId="5" borderId="11" xfId="0" applyFont="1" applyFill="1" applyBorder="1" applyAlignment="1">
      <alignment horizontal="left" vertical="center" wrapText="1" indent="1"/>
    </xf>
    <xf numFmtId="0" fontId="2" fillId="5" borderId="12" xfId="0" applyFont="1" applyFill="1" applyBorder="1" applyAlignment="1">
      <alignment horizontal="left" vertical="center" wrapText="1" indent="1"/>
    </xf>
    <xf numFmtId="0" fontId="2" fillId="5" borderId="13" xfId="0" applyFont="1" applyFill="1" applyBorder="1" applyAlignment="1">
      <alignment horizontal="left" vertical="center" wrapText="1" indent="1"/>
    </xf>
    <xf numFmtId="0" fontId="1" fillId="4" borderId="10" xfId="0" applyFont="1" applyFill="1" applyBorder="1" applyAlignment="1" applyProtection="1">
      <alignment horizontal="left" vertical="center" indent="1"/>
      <protection locked="0"/>
    </xf>
    <xf numFmtId="0" fontId="1" fillId="4" borderId="15" xfId="0" applyFont="1" applyFill="1" applyBorder="1" applyAlignment="1" applyProtection="1">
      <alignment horizontal="left" vertical="center" indent="1"/>
      <protection locked="0"/>
    </xf>
    <xf numFmtId="0" fontId="1" fillId="4" borderId="10" xfId="0" applyFont="1" applyFill="1" applyBorder="1" applyAlignment="1" applyProtection="1">
      <alignment horizontal="left" vertical="center" wrapText="1" indent="1"/>
      <protection locked="0"/>
    </xf>
    <xf numFmtId="0" fontId="1" fillId="4" borderId="10" xfId="0" applyFont="1" applyFill="1" applyBorder="1" applyAlignment="1">
      <alignment horizontal="left" vertical="center" indent="1"/>
    </xf>
    <xf numFmtId="0" fontId="1" fillId="4" borderId="15" xfId="0" applyFont="1" applyFill="1" applyBorder="1" applyAlignment="1">
      <alignment horizontal="left" vertical="center" wrapText="1" indent="1"/>
    </xf>
    <xf numFmtId="0" fontId="1" fillId="4" borderId="17" xfId="0" applyFont="1" applyFill="1" applyBorder="1" applyAlignment="1">
      <alignment horizontal="left" vertical="center" indent="1"/>
    </xf>
    <xf numFmtId="0" fontId="1" fillId="4" borderId="18" xfId="0" applyFont="1" applyFill="1" applyBorder="1" applyAlignment="1">
      <alignment horizontal="left" vertical="center" wrapText="1" indent="1"/>
    </xf>
    <xf numFmtId="0" fontId="1" fillId="4" borderId="15" xfId="0" applyFont="1" applyFill="1" applyBorder="1" applyAlignment="1" applyProtection="1">
      <alignment horizontal="left" vertical="center" wrapText="1" indent="1"/>
      <protection locked="0"/>
    </xf>
    <xf numFmtId="0" fontId="1" fillId="4" borderId="10" xfId="0" applyFont="1" applyFill="1" applyBorder="1" applyAlignment="1">
      <alignment horizontal="left" vertical="center" wrapText="1" indent="1"/>
    </xf>
    <xf numFmtId="0" fontId="1" fillId="4" borderId="17" xfId="0" applyFont="1" applyFill="1" applyBorder="1" applyAlignment="1">
      <alignment horizontal="left" vertical="center" wrapText="1" indent="1"/>
    </xf>
    <xf numFmtId="0" fontId="12" fillId="4" borderId="0" xfId="2" applyFill="1"/>
    <xf numFmtId="0" fontId="1" fillId="12" borderId="0" xfId="0" applyFont="1" applyFill="1" applyAlignment="1">
      <alignment horizontal="right" indent="1"/>
    </xf>
    <xf numFmtId="0" fontId="12" fillId="4" borderId="0" xfId="2" applyFill="1" applyBorder="1"/>
    <xf numFmtId="0" fontId="0" fillId="4" borderId="0" xfId="0" applyFill="1"/>
    <xf numFmtId="0" fontId="1" fillId="12" borderId="0" xfId="0" applyFont="1" applyFill="1"/>
    <xf numFmtId="0" fontId="1" fillId="12" borderId="0" xfId="0" applyFont="1" applyFill="1" applyAlignment="1">
      <alignment horizontal="left" indent="1"/>
    </xf>
    <xf numFmtId="0" fontId="1" fillId="12" borderId="0" xfId="0" applyFont="1" applyFill="1" applyAlignment="1">
      <alignment horizontal="left"/>
    </xf>
    <xf numFmtId="0" fontId="4" fillId="3" borderId="19" xfId="0" applyFont="1" applyFill="1" applyBorder="1" applyAlignment="1">
      <alignment horizontal="left" vertical="center" indent="1"/>
    </xf>
    <xf numFmtId="0" fontId="4" fillId="3" borderId="19" xfId="0" applyFont="1" applyFill="1" applyBorder="1" applyAlignment="1">
      <alignment horizontal="right" vertical="center" indent="1"/>
    </xf>
    <xf numFmtId="9" fontId="4" fillId="3" borderId="19" xfId="1" applyFont="1" applyFill="1" applyBorder="1" applyAlignment="1">
      <alignment horizontal="right" vertical="center" indent="1"/>
    </xf>
    <xf numFmtId="0" fontId="13" fillId="4" borderId="0" xfId="0" applyFont="1" applyFill="1" applyAlignment="1">
      <alignment vertical="center"/>
    </xf>
    <xf numFmtId="0" fontId="0" fillId="6" borderId="0" xfId="0" applyFill="1"/>
    <xf numFmtId="0" fontId="14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 indent="1"/>
    </xf>
    <xf numFmtId="0" fontId="0" fillId="10" borderId="0" xfId="0" applyFill="1"/>
    <xf numFmtId="0" fontId="0" fillId="10" borderId="0" xfId="0" applyFill="1" applyAlignment="1">
      <alignment vertical="center"/>
    </xf>
    <xf numFmtId="0" fontId="0" fillId="10" borderId="0" xfId="0" applyFill="1" applyAlignment="1">
      <alignment horizontal="left" vertical="center" wrapText="1"/>
    </xf>
    <xf numFmtId="0" fontId="0" fillId="4" borderId="0" xfId="0" applyFill="1" applyAlignment="1">
      <alignment vertical="center"/>
    </xf>
    <xf numFmtId="0" fontId="0" fillId="10" borderId="0" xfId="0" applyFill="1" applyAlignment="1">
      <alignment horizontal="left" vertical="center" indent="1"/>
    </xf>
    <xf numFmtId="0" fontId="13" fillId="10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 indent="1"/>
    </xf>
    <xf numFmtId="0" fontId="13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indent="2"/>
    </xf>
    <xf numFmtId="0" fontId="13" fillId="2" borderId="8" xfId="0" applyFont="1" applyFill="1" applyBorder="1"/>
    <xf numFmtId="0" fontId="0" fillId="10" borderId="8" xfId="0" applyFill="1" applyBorder="1"/>
    <xf numFmtId="0" fontId="0" fillId="10" borderId="8" xfId="0" applyFill="1" applyBorder="1" applyAlignment="1">
      <alignment horizontal="left" vertical="center" wrapText="1"/>
    </xf>
    <xf numFmtId="0" fontId="0" fillId="10" borderId="8" xfId="0" applyFill="1" applyBorder="1" applyAlignment="1">
      <alignment horizontal="left"/>
    </xf>
    <xf numFmtId="0" fontId="13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3" fillId="4" borderId="0" xfId="0" applyFont="1" applyFill="1"/>
    <xf numFmtId="0" fontId="13" fillId="10" borderId="0" xfId="0" applyFont="1" applyFill="1" applyAlignment="1">
      <alignment vertical="center"/>
    </xf>
    <xf numFmtId="0" fontId="0" fillId="11" borderId="0" xfId="0" applyFill="1"/>
    <xf numFmtId="0" fontId="12" fillId="11" borderId="0" xfId="2" applyFill="1"/>
    <xf numFmtId="0" fontId="13" fillId="10" borderId="0" xfId="0" applyFont="1" applyFill="1"/>
    <xf numFmtId="0" fontId="0" fillId="0" borderId="2" xfId="0" applyBorder="1" applyAlignment="1">
      <alignment horizontal="left"/>
    </xf>
    <xf numFmtId="0" fontId="0" fillId="10" borderId="0" xfId="0" applyFill="1" applyAlignment="1">
      <alignment horizontal="left" indent="1"/>
    </xf>
    <xf numFmtId="0" fontId="0" fillId="8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9" borderId="0" xfId="0" applyFill="1"/>
    <xf numFmtId="0" fontId="0" fillId="8" borderId="0" xfId="0" applyFill="1"/>
    <xf numFmtId="0" fontId="0" fillId="2" borderId="7" xfId="0" applyFill="1" applyBorder="1" applyAlignment="1">
      <alignment horizontal="center"/>
    </xf>
    <xf numFmtId="0" fontId="0" fillId="10" borderId="0" xfId="0" applyFill="1" applyAlignment="1">
      <alignment horizontal="right"/>
    </xf>
    <xf numFmtId="0" fontId="1" fillId="3" borderId="0" xfId="0" applyFont="1" applyFill="1" applyAlignment="1">
      <alignment vertical="center"/>
    </xf>
    <xf numFmtId="9" fontId="1" fillId="3" borderId="9" xfId="0" applyNumberFormat="1" applyFont="1" applyFill="1" applyBorder="1" applyAlignment="1">
      <alignment vertical="center"/>
    </xf>
    <xf numFmtId="0" fontId="1" fillId="12" borderId="0" xfId="0" applyFont="1" applyFill="1" applyAlignment="1">
      <alignment horizontal="right" vertical="center" indent="1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16" fillId="0" borderId="14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" fillId="4" borderId="17" xfId="0" applyFont="1" applyFill="1" applyBorder="1" applyAlignment="1" applyProtection="1">
      <alignment horizontal="left" vertical="center" indent="1"/>
      <protection locked="0"/>
    </xf>
    <xf numFmtId="0" fontId="0" fillId="10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17" fillId="4" borderId="10" xfId="0" applyFont="1" applyFill="1" applyBorder="1" applyAlignment="1" applyProtection="1">
      <alignment horizontal="left" vertical="center" indent="1"/>
      <protection locked="0"/>
    </xf>
    <xf numFmtId="0" fontId="0" fillId="0" borderId="14" xfId="0" applyBorder="1" applyAlignment="1" applyProtection="1">
      <alignment vertical="center" wrapText="1"/>
    </xf>
    <xf numFmtId="0" fontId="0" fillId="0" borderId="10" xfId="0" applyBorder="1" applyAlignment="1" applyProtection="1">
      <alignment vertical="center" wrapText="1"/>
    </xf>
    <xf numFmtId="0" fontId="0" fillId="0" borderId="16" xfId="0" applyBorder="1" applyAlignment="1" applyProtection="1">
      <alignment vertical="center" wrapText="1"/>
    </xf>
    <xf numFmtId="0" fontId="0" fillId="0" borderId="17" xfId="0" applyBorder="1" applyAlignment="1" applyProtection="1">
      <alignment vertical="center" wrapText="1"/>
    </xf>
    <xf numFmtId="0" fontId="1" fillId="4" borderId="10" xfId="0" applyFont="1" applyFill="1" applyBorder="1" applyAlignment="1" applyProtection="1">
      <alignment horizontal="left" vertical="center" indent="1"/>
    </xf>
    <xf numFmtId="0" fontId="1" fillId="4" borderId="17" xfId="0" applyFont="1" applyFill="1" applyBorder="1" applyAlignment="1" applyProtection="1">
      <alignment horizontal="left" vertical="center" indent="1"/>
    </xf>
    <xf numFmtId="0" fontId="0" fillId="0" borderId="0" xfId="0" applyBorder="1" applyAlignment="1">
      <alignment vertical="center"/>
    </xf>
  </cellXfs>
  <cellStyles count="3">
    <cellStyle name="Link" xfId="2" builtinId="8"/>
    <cellStyle name="Prozent" xfId="1" builtinId="5"/>
    <cellStyle name="Standard" xfId="0" builtinId="0"/>
  </cellStyles>
  <dxfs count="42">
    <dxf>
      <fill>
        <patternFill>
          <fgColor theme="9" tint="0.39985351115451523"/>
          <bgColor rgb="FFA5A5A5"/>
        </patternFill>
      </fill>
    </dxf>
    <dxf>
      <fill>
        <patternFill>
          <fgColor theme="9" tint="0.39985351115451523"/>
          <bgColor rgb="FFFFEBAB"/>
        </patternFill>
      </fill>
    </dxf>
    <dxf>
      <fill>
        <patternFill>
          <fgColor theme="9" tint="0.39985351115451523"/>
          <bgColor rgb="FFEFB0AB"/>
        </patternFill>
      </fill>
    </dxf>
    <dxf>
      <fill>
        <patternFill>
          <fgColor theme="9" tint="0.39991454817346722"/>
          <bgColor rgb="FFCDE09C"/>
        </patternFill>
      </fill>
    </dxf>
    <dxf>
      <numFmt numFmtId="164" formatCode="@\ \↗"/>
      <fill>
        <patternFill>
          <fgColor theme="9" tint="0.39991454817346722"/>
          <bgColor rgb="FFCDE09C"/>
        </patternFill>
      </fill>
    </dxf>
    <dxf>
      <fill>
        <patternFill>
          <bgColor rgb="FFCDE09C"/>
        </patternFill>
      </fill>
    </dxf>
    <dxf>
      <fill>
        <patternFill>
          <bgColor rgb="FFFFEBAB"/>
        </patternFill>
      </fill>
    </dxf>
    <dxf>
      <fill>
        <patternFill>
          <bgColor rgb="FFEFB0AB"/>
        </patternFill>
      </fill>
    </dxf>
    <dxf>
      <fill>
        <patternFill>
          <bgColor rgb="FFC6C6C6"/>
        </patternFill>
      </fill>
    </dxf>
    <dxf>
      <fill>
        <patternFill>
          <bgColor rgb="FFCDE09C"/>
        </patternFill>
      </fill>
    </dxf>
    <dxf>
      <fill>
        <patternFill>
          <bgColor rgb="FFFFEBAB"/>
        </patternFill>
      </fill>
    </dxf>
    <dxf>
      <fill>
        <patternFill>
          <bgColor rgb="FFEFB0AB"/>
        </patternFill>
      </fill>
    </dxf>
    <dxf>
      <fill>
        <patternFill>
          <bgColor rgb="FFC6C6C6"/>
        </patternFill>
      </fill>
    </dxf>
    <dxf>
      <fill>
        <patternFill>
          <bgColor rgb="FFCDE09C"/>
        </patternFill>
      </fill>
    </dxf>
    <dxf>
      <fill>
        <patternFill>
          <bgColor rgb="FFEFB0AB"/>
        </patternFill>
      </fill>
    </dxf>
    <dxf>
      <numFmt numFmtId="165" formatCode="\⚠\ 0%"/>
      <fill>
        <patternFill>
          <bgColor rgb="FFCDE09C"/>
        </patternFill>
      </fill>
    </dxf>
    <dxf>
      <numFmt numFmtId="166" formatCode="\↗\️\ 0%"/>
      <fill>
        <patternFill>
          <bgColor rgb="FFCDE09C"/>
        </patternFill>
      </fill>
    </dxf>
    <dxf>
      <fill>
        <patternFill>
          <bgColor rgb="FFC6C6C6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fgColor indexed="64"/>
          <bgColor rgb="FF00A5E1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fill>
        <patternFill patternType="solid">
          <fgColor indexed="64"/>
          <bgColor rgb="FF00A5E1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A5A5A5"/>
      <color rgb="FFFFEBAB"/>
      <color rgb="FFEFB0AB"/>
      <color rgb="FFCDE09C"/>
      <color rgb="FFB9D478"/>
      <color rgb="FF66CCFF"/>
      <color rgb="FFC6C6C6"/>
      <color rgb="FFEFEFEF"/>
      <color rgb="FFD5D5D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orian Gaiser" id="{84216F47-2E0E-4285-B9BB-8A77DE7E3C81}" userId="S::florian.gaiser@doubleslash.de::91fba8dc-4aab-4f11-9ae7-fd37e7314b3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B99A0-1B74-4FC2-8A45-06BBB741F388}" name="Tabelle1" displayName="Tabelle1" ref="A1:E276" totalsRowShown="0" headerRowDxfId="30" dataDxfId="28" headerRowBorderDxfId="29" tableBorderDxfId="27" totalsRowBorderDxfId="26">
  <autoFilter ref="A1:E276" xr:uid="{1C7B99A0-1B74-4FC2-8A45-06BBB741F388}">
    <filterColumn colId="0">
      <customFilters>
        <customFilter operator="notEqual" val=" "/>
      </customFilters>
    </filterColumn>
  </autoFilter>
  <tableColumns count="5">
    <tableColumn id="1" xr3:uid="{75CDEBE6-9FDB-422B-A4C6-08E948287D8B}" name="Capability" dataDxfId="25"/>
    <tableColumn id="2" xr3:uid="{4171154D-BD92-4FD0-A6D1-C53EAA9CE2DE}" name="Anforderung" dataDxfId="24"/>
    <tableColumn id="3" xr3:uid="{D0934AC5-49C5-44AB-9234-275F16902BA6}" name="Modulname (optional)" dataDxfId="23"/>
    <tableColumn id="4" xr3:uid="{623A9A54-9013-436D-AA94-405A8ECE4D11}" name="Plan-Status" dataDxfId="22"/>
    <tableColumn id="5" xr3:uid="{73F44BF6-3D19-4778-8A8C-D9FB82ECD2DE}" name="Tailoring-Begründung" dataDxfId="2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3BE9A-C1C4-4444-8420-86FFAB035E80}" name="Tabelle2" displayName="Tabelle2" ref="A1:G276" totalsRowShown="0" headerRowDxfId="41" headerRowBorderDxfId="40" tableBorderDxfId="39" totalsRowBorderDxfId="38">
  <autoFilter ref="A1:G276" xr:uid="{C6A3BE9A-C1C4-4444-8420-86FFAB035E80}">
    <filterColumn colId="0">
      <customFilters>
        <customFilter operator="notEqual" val=" "/>
      </customFilters>
    </filterColumn>
  </autoFilter>
  <tableColumns count="7">
    <tableColumn id="1" xr3:uid="{25E331CF-B494-4B95-A740-2BEC57BDB3D6}" name="Capability" dataDxfId="37"/>
    <tableColumn id="2" xr3:uid="{3A9EEC73-04BA-4ACE-AF61-44DFD2AD2582}" name="Anforderung" dataDxfId="36"/>
    <tableColumn id="3" xr3:uid="{04D37AFB-BE56-4292-A228-FFABFDD55763}" name="Modulname (optional)" dataDxfId="35"/>
    <tableColumn id="4" xr3:uid="{85D43EFA-D571-4F8D-8024-0A3B852304F4}" name="Plan-Status" dataDxfId="34"/>
    <tableColumn id="5" xr3:uid="{3D253714-4200-4960-A83A-CD6E00C576D5}" name="Ist-Status" dataDxfId="33"/>
    <tableColumn id="6" xr3:uid="{22C7BAC3-67BF-46B7-A98D-2EBA514C4978}" name="Begründung der Abweichung" dataDxfId="32"/>
    <tableColumn id="7" xr3:uid="{BF190FE8-AE84-4F03-9818-D5293CBC31E4}" name="Maßnahmen" dataDxfId="3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4-10T09:09:20.00" personId="{84216F47-2E0E-4285-B9BB-8A77DE7E3C81}" id="{E8E6CC9B-9894-4254-8CE7-EE868DF7F0E7}">
    <text>Planwert kann manuell angepasst werden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ages.doubleslash.de/doubleslash/recode-blueprints/latest/devops/assessment/umfrage/" TargetMode="External"/><Relationship Id="rId1" Type="http://schemas.openxmlformats.org/officeDocument/2006/relationships/hyperlink" Target="https://confluence.doubleslash.de/confluence/x/Q5TFG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ages.doubleslash.de/doubleslash/recode-blueprints/latest/devops/assessment/umfrage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738C-11A8-4B47-9FCB-EC4BA51C7608}">
  <dimension ref="A1:J127"/>
  <sheetViews>
    <sheetView topLeftCell="A37" workbookViewId="0">
      <selection activeCell="D50" sqref="D50"/>
    </sheetView>
  </sheetViews>
  <sheetFormatPr baseColWidth="10" defaultColWidth="11" defaultRowHeight="14.25"/>
  <cols>
    <col min="1" max="1" width="1.375" style="55" customWidth="1"/>
    <col min="2" max="2" width="22.125" style="55" customWidth="1"/>
    <col min="3" max="3" width="43.5" style="55" customWidth="1"/>
    <col min="4" max="4" width="86.625" style="55" customWidth="1"/>
    <col min="5" max="6" width="11" style="55"/>
    <col min="7" max="7" width="8.125" style="55" customWidth="1"/>
    <col min="8" max="8" width="11" style="55"/>
    <col min="9" max="9" width="53.125" style="55" customWidth="1"/>
    <col min="10" max="16384" width="11" style="55"/>
  </cols>
  <sheetData>
    <row r="1" spans="1:9" ht="18">
      <c r="A1" s="52"/>
      <c r="B1" s="53" t="s">
        <v>31</v>
      </c>
      <c r="C1" s="54"/>
      <c r="D1" s="54"/>
      <c r="E1" s="54"/>
    </row>
    <row r="2" spans="1:9">
      <c r="B2" s="56"/>
    </row>
    <row r="3" spans="1:9" ht="18.75" customHeight="1">
      <c r="B3" s="102" t="s">
        <v>317</v>
      </c>
      <c r="C3" s="102"/>
      <c r="D3" s="102"/>
      <c r="E3" s="102"/>
      <c r="F3" s="102"/>
      <c r="G3" s="102"/>
      <c r="H3" s="102"/>
      <c r="I3" s="102"/>
    </row>
    <row r="4" spans="1:9" ht="14.25" customHeight="1">
      <c r="B4" s="102" t="s">
        <v>318</v>
      </c>
      <c r="C4" s="102"/>
      <c r="D4" s="102"/>
      <c r="E4" s="102"/>
      <c r="F4" s="102"/>
      <c r="G4" s="102"/>
      <c r="H4" s="102"/>
      <c r="I4" s="102"/>
    </row>
    <row r="5" spans="1:9" ht="14.25" customHeight="1">
      <c r="B5" s="102"/>
      <c r="C5" s="102"/>
      <c r="D5" s="102"/>
      <c r="E5" s="102"/>
      <c r="F5" s="102"/>
      <c r="G5" s="102"/>
      <c r="H5" s="102"/>
      <c r="I5" s="102"/>
    </row>
    <row r="6" spans="1:9">
      <c r="F6" s="44"/>
      <c r="G6" s="44"/>
      <c r="H6" s="44"/>
      <c r="I6" s="44"/>
    </row>
    <row r="7" spans="1:9">
      <c r="B7" s="104" t="s">
        <v>312</v>
      </c>
      <c r="C7" s="104"/>
      <c r="D7" s="104"/>
      <c r="E7" s="104"/>
      <c r="F7" s="58"/>
      <c r="G7" s="58"/>
      <c r="H7" s="58"/>
      <c r="I7" s="58"/>
    </row>
    <row r="8" spans="1:9">
      <c r="B8" s="104" t="s">
        <v>265</v>
      </c>
      <c r="C8" s="104"/>
      <c r="D8" s="104"/>
      <c r="E8" s="104"/>
      <c r="F8" s="58"/>
      <c r="G8" s="58"/>
      <c r="H8" s="58"/>
      <c r="I8" s="58"/>
    </row>
    <row r="10" spans="1:9" ht="18">
      <c r="A10" s="52"/>
      <c r="B10" s="53" t="s">
        <v>32</v>
      </c>
      <c r="C10" s="54"/>
      <c r="D10" s="54"/>
      <c r="E10" s="54"/>
    </row>
    <row r="11" spans="1:9">
      <c r="B11" s="59"/>
    </row>
    <row r="12" spans="1:9" ht="15">
      <c r="B12" s="60" t="s">
        <v>319</v>
      </c>
    </row>
    <row r="13" spans="1:9" ht="15">
      <c r="B13" s="60" t="s">
        <v>320</v>
      </c>
    </row>
    <row r="14" spans="1:9" ht="15">
      <c r="B14" s="60" t="s">
        <v>321</v>
      </c>
    </row>
    <row r="15" spans="1:9" ht="15">
      <c r="B15" s="60" t="s">
        <v>322</v>
      </c>
    </row>
    <row r="16" spans="1:9" ht="15">
      <c r="B16" s="60" t="s">
        <v>323</v>
      </c>
    </row>
    <row r="18" spans="1:7" ht="18">
      <c r="A18" s="52"/>
      <c r="B18" s="53" t="s">
        <v>303</v>
      </c>
      <c r="C18" s="54"/>
      <c r="D18" s="54"/>
      <c r="E18" s="54"/>
    </row>
    <row r="19" spans="1:7">
      <c r="A19" s="44"/>
      <c r="B19" s="61"/>
      <c r="C19" s="44"/>
      <c r="D19" s="44"/>
      <c r="E19" s="44"/>
      <c r="F19" s="44"/>
      <c r="G19" s="44"/>
    </row>
    <row r="20" spans="1:7" ht="15">
      <c r="A20" s="44"/>
      <c r="B20" s="62" t="s">
        <v>304</v>
      </c>
      <c r="C20" s="44"/>
      <c r="D20" s="44"/>
      <c r="E20" s="44"/>
      <c r="F20" s="44"/>
      <c r="G20" s="44"/>
    </row>
    <row r="21" spans="1:7" ht="15">
      <c r="A21" s="44"/>
      <c r="B21" s="63" t="s">
        <v>324</v>
      </c>
      <c r="C21" s="44"/>
      <c r="D21" s="44"/>
      <c r="E21" s="44"/>
      <c r="F21" s="44"/>
      <c r="G21" s="44"/>
    </row>
    <row r="22" spans="1:7">
      <c r="A22" s="44"/>
      <c r="B22" s="64"/>
      <c r="C22" s="44"/>
      <c r="D22" s="44"/>
      <c r="E22" s="44"/>
      <c r="F22" s="44"/>
      <c r="G22" s="44"/>
    </row>
    <row r="23" spans="1:7" ht="15">
      <c r="B23" s="65" t="s">
        <v>310</v>
      </c>
      <c r="C23" s="65" t="s">
        <v>16</v>
      </c>
      <c r="D23" s="65" t="s">
        <v>302</v>
      </c>
    </row>
    <row r="24" spans="1:7" ht="15">
      <c r="B24" s="66" t="s">
        <v>6</v>
      </c>
      <c r="C24" s="66" t="s">
        <v>325</v>
      </c>
      <c r="D24" t="s">
        <v>326</v>
      </c>
    </row>
    <row r="25" spans="1:7" ht="15">
      <c r="B25" s="66" t="s">
        <v>5</v>
      </c>
      <c r="C25" s="66" t="s">
        <v>327</v>
      </c>
      <c r="D25" t="s">
        <v>328</v>
      </c>
    </row>
    <row r="26" spans="1:7" ht="15">
      <c r="B26" s="67" t="s">
        <v>7</v>
      </c>
      <c r="C26" s="66" t="s">
        <v>329</v>
      </c>
      <c r="D26" t="s">
        <v>330</v>
      </c>
    </row>
    <row r="27" spans="1:7" ht="15">
      <c r="B27" s="66" t="s">
        <v>13</v>
      </c>
      <c r="C27" s="68" t="s">
        <v>331</v>
      </c>
      <c r="D27" s="66" t="s">
        <v>301</v>
      </c>
    </row>
    <row r="29" spans="1:7" ht="15">
      <c r="A29" s="44"/>
      <c r="B29" s="62" t="s">
        <v>305</v>
      </c>
      <c r="C29" s="44"/>
      <c r="D29" s="44"/>
      <c r="E29" s="44"/>
      <c r="F29" s="44"/>
      <c r="G29" s="44"/>
    </row>
    <row r="30" spans="1:7" ht="15">
      <c r="A30" s="44"/>
      <c r="B30" s="103" t="s">
        <v>332</v>
      </c>
      <c r="C30" s="103"/>
      <c r="D30" s="103"/>
      <c r="E30" s="103"/>
      <c r="F30" s="103"/>
      <c r="G30" s="103"/>
    </row>
    <row r="31" spans="1:7">
      <c r="A31" s="44"/>
      <c r="B31" s="64"/>
      <c r="C31" s="44"/>
      <c r="D31" s="44"/>
      <c r="E31" s="44"/>
      <c r="F31" s="44"/>
      <c r="G31" s="44"/>
    </row>
    <row r="32" spans="1:7" ht="15">
      <c r="A32" s="44"/>
      <c r="B32" s="69" t="s">
        <v>316</v>
      </c>
      <c r="C32" s="70"/>
      <c r="D32" s="44"/>
      <c r="E32" s="44"/>
    </row>
    <row r="33" spans="1:7" ht="15">
      <c r="A33" s="44"/>
      <c r="B33" s="69" t="s">
        <v>333</v>
      </c>
      <c r="C33" s="69"/>
      <c r="D33" s="69"/>
      <c r="E33" s="69"/>
    </row>
    <row r="34" spans="1:7">
      <c r="A34" s="44"/>
      <c r="B34" s="44"/>
      <c r="C34" s="44"/>
      <c r="D34" s="44"/>
      <c r="E34" s="44"/>
    </row>
    <row r="35" spans="1:7" ht="14.25" customHeight="1">
      <c r="A35" s="44"/>
      <c r="B35" s="71" t="s">
        <v>306</v>
      </c>
      <c r="C35" s="44"/>
      <c r="D35" s="44"/>
      <c r="E35" s="44"/>
    </row>
    <row r="36" spans="1:7" ht="15">
      <c r="A36" s="44"/>
      <c r="B36" s="44" t="s">
        <v>334</v>
      </c>
      <c r="C36" s="44"/>
      <c r="D36" s="44"/>
      <c r="E36" s="44"/>
      <c r="F36" s="44"/>
      <c r="G36" s="44"/>
    </row>
    <row r="37" spans="1:7" ht="15">
      <c r="A37" s="44"/>
      <c r="B37" s="44" t="s">
        <v>335</v>
      </c>
      <c r="C37" s="44"/>
      <c r="D37" s="44"/>
      <c r="E37" s="44"/>
      <c r="F37" s="44"/>
      <c r="G37" s="44"/>
    </row>
    <row r="38" spans="1:7">
      <c r="A38" s="44"/>
      <c r="B38" s="44"/>
      <c r="C38" s="44"/>
      <c r="D38" s="44"/>
      <c r="E38" s="44"/>
      <c r="F38" s="44"/>
      <c r="G38" s="44"/>
    </row>
    <row r="39" spans="1:7" ht="15">
      <c r="A39" s="44"/>
      <c r="B39" s="51" t="s">
        <v>307</v>
      </c>
      <c r="C39" s="44"/>
      <c r="D39" s="44"/>
      <c r="E39" s="44"/>
      <c r="F39" s="44"/>
      <c r="G39" s="44"/>
    </row>
    <row r="40" spans="1:7" ht="15">
      <c r="A40" s="44"/>
      <c r="B40" s="44" t="s">
        <v>336</v>
      </c>
      <c r="C40" s="44"/>
      <c r="D40" s="44"/>
      <c r="E40" s="44"/>
      <c r="F40" s="44"/>
      <c r="G40" s="44"/>
    </row>
    <row r="41" spans="1:7">
      <c r="A41" s="44"/>
      <c r="B41" s="44"/>
      <c r="C41" s="44"/>
      <c r="D41" s="44"/>
      <c r="E41" s="44"/>
      <c r="F41" s="44"/>
      <c r="G41" s="44"/>
    </row>
    <row r="42" spans="1:7" ht="15">
      <c r="B42" s="65" t="s">
        <v>311</v>
      </c>
      <c r="C42" s="65" t="s">
        <v>16</v>
      </c>
      <c r="D42" s="65" t="s">
        <v>302</v>
      </c>
      <c r="F42" s="44"/>
      <c r="G42" s="44"/>
    </row>
    <row r="43" spans="1:7" ht="15">
      <c r="B43" s="66" t="s">
        <v>6</v>
      </c>
      <c r="C43" s="66" t="s">
        <v>325</v>
      </c>
      <c r="D43" t="s">
        <v>337</v>
      </c>
      <c r="F43" s="44"/>
      <c r="G43" s="44"/>
    </row>
    <row r="44" spans="1:7" ht="15">
      <c r="B44" s="66" t="s">
        <v>5</v>
      </c>
      <c r="C44" s="66" t="s">
        <v>327</v>
      </c>
      <c r="D44" t="s">
        <v>338</v>
      </c>
      <c r="F44" s="44"/>
      <c r="G44" s="44"/>
    </row>
    <row r="45" spans="1:7" ht="15">
      <c r="B45" s="67" t="s">
        <v>7</v>
      </c>
      <c r="C45" s="66" t="s">
        <v>329</v>
      </c>
      <c r="D45" t="s">
        <v>339</v>
      </c>
      <c r="F45" s="44"/>
      <c r="G45" s="44"/>
    </row>
    <row r="46" spans="1:7" ht="15">
      <c r="B46" s="66" t="s">
        <v>13</v>
      </c>
      <c r="C46" s="68" t="s">
        <v>331</v>
      </c>
      <c r="D46" s="66" t="s">
        <v>301</v>
      </c>
      <c r="F46" s="44"/>
      <c r="G46" s="44"/>
    </row>
    <row r="47" spans="1:7">
      <c r="F47" s="44"/>
      <c r="G47" s="44"/>
    </row>
    <row r="48" spans="1:7" ht="15">
      <c r="B48" s="60" t="s">
        <v>308</v>
      </c>
      <c r="C48" s="72"/>
      <c r="G48" s="44"/>
    </row>
    <row r="49" spans="1:7">
      <c r="B49" s="73" t="s">
        <v>264</v>
      </c>
      <c r="C49" s="73"/>
      <c r="D49" s="74" t="s">
        <v>342</v>
      </c>
      <c r="E49" s="73"/>
      <c r="G49" s="44"/>
    </row>
    <row r="50" spans="1:7">
      <c r="B50" s="73" t="s">
        <v>340</v>
      </c>
      <c r="C50" s="73"/>
      <c r="D50" s="74" t="s">
        <v>341</v>
      </c>
      <c r="E50" s="73"/>
      <c r="G50" s="44"/>
    </row>
    <row r="51" spans="1:7">
      <c r="B51" s="73" t="s">
        <v>266</v>
      </c>
      <c r="C51" s="73"/>
      <c r="D51" s="73"/>
      <c r="E51" s="73"/>
      <c r="G51" s="44"/>
    </row>
    <row r="52" spans="1:7">
      <c r="B52" s="73" t="s">
        <v>343</v>
      </c>
      <c r="C52" s="73"/>
      <c r="D52" s="73"/>
      <c r="E52" s="73"/>
      <c r="G52" s="44"/>
    </row>
    <row r="53" spans="1:7">
      <c r="G53" s="44"/>
    </row>
    <row r="54" spans="1:7" ht="18">
      <c r="A54" s="54"/>
      <c r="B54" s="53" t="s">
        <v>309</v>
      </c>
      <c r="C54" s="54"/>
      <c r="D54" s="54"/>
      <c r="E54" s="54"/>
    </row>
    <row r="56" spans="1:7" ht="15">
      <c r="B56" s="75" t="s">
        <v>313</v>
      </c>
    </row>
    <row r="57" spans="1:7">
      <c r="B57" s="55" t="s">
        <v>314</v>
      </c>
    </row>
    <row r="58" spans="1:7">
      <c r="B58" s="55" t="s">
        <v>315</v>
      </c>
    </row>
    <row r="60" spans="1:7" ht="18">
      <c r="A60" s="54"/>
      <c r="B60" s="53" t="s">
        <v>19</v>
      </c>
      <c r="C60" s="54"/>
      <c r="D60" s="54"/>
      <c r="E60" s="54"/>
    </row>
    <row r="61" spans="1:7" ht="15" thickBot="1"/>
    <row r="62" spans="1:7" ht="15" thickBot="1">
      <c r="B62" s="76"/>
      <c r="C62" s="77" t="s">
        <v>30</v>
      </c>
    </row>
    <row r="64" spans="1:7" ht="15">
      <c r="B64" s="75" t="s">
        <v>33</v>
      </c>
    </row>
    <row r="65" spans="2:10" ht="15">
      <c r="B65" s="75"/>
      <c r="I65" s="44"/>
      <c r="J65" s="44"/>
    </row>
    <row r="66" spans="2:10">
      <c r="B66" s="78"/>
      <c r="C66" s="55" t="s">
        <v>7</v>
      </c>
      <c r="I66" s="44"/>
      <c r="J66" s="44"/>
    </row>
    <row r="67" spans="2:10">
      <c r="B67" s="79"/>
      <c r="C67" s="55" t="s">
        <v>6</v>
      </c>
      <c r="I67" s="44"/>
      <c r="J67" s="44"/>
    </row>
    <row r="68" spans="2:10">
      <c r="B68" s="80" t="s">
        <v>26</v>
      </c>
      <c r="C68" s="55" t="s">
        <v>36</v>
      </c>
      <c r="I68" s="44"/>
      <c r="J68" s="44"/>
    </row>
    <row r="69" spans="2:10">
      <c r="B69" s="81" t="s">
        <v>25</v>
      </c>
      <c r="C69" s="55" t="s">
        <v>37</v>
      </c>
      <c r="G69" s="44"/>
      <c r="H69" s="44"/>
      <c r="I69" s="44"/>
      <c r="J69" s="44"/>
    </row>
    <row r="70" spans="2:10">
      <c r="C70" s="55" t="s">
        <v>38</v>
      </c>
      <c r="F70" s="44"/>
    </row>
    <row r="72" spans="2:10" ht="15">
      <c r="B72" s="75" t="s">
        <v>34</v>
      </c>
    </row>
    <row r="73" spans="2:10" ht="15">
      <c r="B73" s="75"/>
    </row>
    <row r="74" spans="2:10">
      <c r="B74" s="79"/>
      <c r="C74" s="55" t="s">
        <v>6</v>
      </c>
      <c r="E74" s="44"/>
    </row>
    <row r="75" spans="2:10">
      <c r="B75" s="82"/>
      <c r="C75" s="55" t="s">
        <v>5</v>
      </c>
    </row>
    <row r="76" spans="2:10">
      <c r="B76" s="83"/>
      <c r="C76" s="57" t="s">
        <v>7</v>
      </c>
    </row>
    <row r="77" spans="2:10">
      <c r="B77" s="84"/>
      <c r="C77" s="55" t="s">
        <v>13</v>
      </c>
    </row>
    <row r="80" spans="2:10" ht="15">
      <c r="B80" s="75" t="s">
        <v>35</v>
      </c>
    </row>
    <row r="81" spans="2:7" ht="15">
      <c r="B81" s="75"/>
    </row>
    <row r="82" spans="2:7">
      <c r="B82" s="78"/>
      <c r="C82" s="55" t="s">
        <v>28</v>
      </c>
    </row>
    <row r="83" spans="2:7">
      <c r="B83" s="79"/>
      <c r="C83" s="55" t="s">
        <v>29</v>
      </c>
    </row>
    <row r="84" spans="2:7">
      <c r="B84" s="80" t="s">
        <v>26</v>
      </c>
      <c r="C84" s="55" t="s">
        <v>36</v>
      </c>
    </row>
    <row r="85" spans="2:7">
      <c r="G85" s="44"/>
    </row>
    <row r="86" spans="2:7">
      <c r="G86" s="44"/>
    </row>
    <row r="87" spans="2:7">
      <c r="G87" s="44"/>
    </row>
    <row r="88" spans="2:7">
      <c r="G88" s="44"/>
    </row>
    <row r="127" spans="3:3">
      <c r="C127" s="85"/>
    </row>
  </sheetData>
  <mergeCells count="6">
    <mergeCell ref="B3:I3"/>
    <mergeCell ref="B4:I4"/>
    <mergeCell ref="B5:I5"/>
    <mergeCell ref="B30:G30"/>
    <mergeCell ref="B7:E7"/>
    <mergeCell ref="B8:E8"/>
  </mergeCells>
  <hyperlinks>
    <hyperlink ref="D50" r:id="rId1" display="https://confluence.doubleslash.de/confluence/x/Q5TFGg" xr:uid="{DBC467EB-2CB0-4919-AA72-FFFAA672C82E}"/>
    <hyperlink ref="D49" r:id="rId2" display="Dora Quickckeck" xr:uid="{9BAD6EAA-295F-4E90-83CC-A32C612165E4}"/>
  </hyperlinks>
  <pageMargins left="0.7" right="0.7" top="0.78740157499999996" bottom="0.78740157499999996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3A78-265B-4582-A336-D688B7B1F038}">
  <sheetPr>
    <tabColor rgb="FF6D6D6D"/>
  </sheetPr>
  <dimension ref="A1:DG55"/>
  <sheetViews>
    <sheetView tabSelected="1" zoomScaleNormal="100" workbookViewId="0">
      <pane xSplit="3" topLeftCell="D1" activePane="topRight" state="frozen"/>
      <selection pane="topRight" activeCell="C22" sqref="C22"/>
    </sheetView>
  </sheetViews>
  <sheetFormatPr baseColWidth="10" defaultColWidth="11" defaultRowHeight="14.25" outlineLevelRow="1"/>
  <cols>
    <col min="1" max="1" width="19.125" style="8" customWidth="1"/>
    <col min="2" max="2" width="13.125" style="8" customWidth="1"/>
    <col min="3" max="3" width="15.625" style="8" customWidth="1"/>
    <col min="4" max="11" width="14.125" style="8" customWidth="1"/>
    <col min="12" max="16384" width="11" style="8"/>
  </cols>
  <sheetData>
    <row r="1" spans="1:111" s="1" customFormat="1" ht="24" customHeight="1" thickBot="1">
      <c r="A1" s="23" t="s">
        <v>21</v>
      </c>
      <c r="B1" s="6"/>
      <c r="C1" s="6"/>
      <c r="D1" s="1" t="s">
        <v>22</v>
      </c>
    </row>
    <row r="2" spans="1:111" s="12" customFormat="1" ht="29.25" thickBot="1">
      <c r="A2" s="3" t="s">
        <v>0</v>
      </c>
      <c r="B2" s="25"/>
      <c r="C2" s="3" t="s">
        <v>20</v>
      </c>
      <c r="D2" s="24" t="s">
        <v>39</v>
      </c>
      <c r="E2" s="24"/>
      <c r="F2" s="11"/>
      <c r="G2" s="11"/>
      <c r="H2" s="11"/>
      <c r="I2" s="11" t="str">
        <f>IFERROR(REPLACE(INDEX(Blattnamen,COLUMN(#REF!)),1,FIND("]",INDEX(Blattnamen,COLUMN(#REF!))),""),"")</f>
        <v/>
      </c>
      <c r="J2" s="11" t="str">
        <f>IFERROR(REPLACE(INDEX(Blattnamen,COLUMN(#REF!)),1,FIND("]",INDEX(Blattnamen,COLUMN(#REF!))),""),"")</f>
        <v/>
      </c>
      <c r="K2" s="11" t="str">
        <f>IFERROR(REPLACE(INDEX(Blattnamen,COLUMN(#REF!)),1,FIND("]",INDEX(Blattnamen,COLUMN(#REF!))),""),"")</f>
        <v/>
      </c>
      <c r="L2" s="11" t="str">
        <f>IFERROR(REPLACE(INDEX(Blattnamen,COLUMN(#REF!)),1,FIND("]",INDEX(Blattnamen,COLUMN(#REF!))),""),"")</f>
        <v/>
      </c>
      <c r="M2" s="11" t="str">
        <f>IFERROR(REPLACE(INDEX(Blattnamen,COLUMN(#REF!)),1,FIND("]",INDEX(Blattnamen,COLUMN(#REF!))),""),"")</f>
        <v/>
      </c>
      <c r="N2" s="11" t="str">
        <f>IFERROR(REPLACE(INDEX(Blattnamen,COLUMN(#REF!)),1,FIND("]",INDEX(Blattnamen,COLUMN(#REF!))),""),"")</f>
        <v/>
      </c>
      <c r="O2" s="11" t="str">
        <f>IFERROR(REPLACE(INDEX(Blattnamen,COLUMN(#REF!)),1,FIND("]",INDEX(Blattnamen,COLUMN(#REF!))),""),"")</f>
        <v/>
      </c>
      <c r="P2" s="11" t="str">
        <f>IFERROR(REPLACE(INDEX(Blattnamen,COLUMN(#REF!)),1,FIND("]",INDEX(Blattnamen,COLUMN(#REF!))),""),"")</f>
        <v/>
      </c>
      <c r="Q2" s="11" t="str">
        <f>IFERROR(REPLACE(INDEX(Blattnamen,COLUMN(#REF!)),1,FIND("]",INDEX(Blattnamen,COLUMN(#REF!))),""),"")</f>
        <v/>
      </c>
      <c r="R2" s="11" t="str">
        <f>IFERROR(REPLACE(INDEX(Blattnamen,COLUMN(#REF!)),1,FIND("]",INDEX(Blattnamen,COLUMN(#REF!))),""),"")</f>
        <v/>
      </c>
      <c r="S2" s="11" t="str">
        <f>IFERROR(REPLACE(INDEX(Blattnamen,COLUMN(#REF!)),1,FIND("]",INDEX(Blattnamen,COLUMN(#REF!))),""),"")</f>
        <v/>
      </c>
      <c r="T2" s="11" t="str">
        <f>IFERROR(REPLACE(INDEX(Blattnamen,COLUMN(#REF!)),1,FIND("]",INDEX(Blattnamen,COLUMN(#REF!))),""),"")</f>
        <v/>
      </c>
      <c r="U2" s="11" t="str">
        <f>IFERROR(REPLACE(INDEX(Blattnamen,COLUMN(#REF!)),1,FIND("]",INDEX(Blattnamen,COLUMN(#REF!))),""),"")</f>
        <v/>
      </c>
      <c r="V2" s="11" t="str">
        <f>IFERROR(REPLACE(INDEX(Blattnamen,COLUMN(#REF!)),1,FIND("]",INDEX(Blattnamen,COLUMN(#REF!))),""),"")</f>
        <v/>
      </c>
      <c r="W2" s="11" t="str">
        <f>IFERROR(REPLACE(INDEX(Blattnamen,COLUMN(#REF!)),1,FIND("]",INDEX(Blattnamen,COLUMN(#REF!))),""),"")</f>
        <v/>
      </c>
      <c r="X2" s="11" t="str">
        <f>IFERROR(REPLACE(INDEX(Blattnamen,COLUMN(#REF!)),1,FIND("]",INDEX(Blattnamen,COLUMN(#REF!))),""),"")</f>
        <v/>
      </c>
      <c r="Y2" s="11" t="str">
        <f>IFERROR(REPLACE(INDEX(Blattnamen,COLUMN(#REF!)),1,FIND("]",INDEX(Blattnamen,COLUMN(#REF!))),""),"")</f>
        <v/>
      </c>
      <c r="Z2" s="11" t="str">
        <f>IFERROR(REPLACE(INDEX(Blattnamen,COLUMN(#REF!)),1,FIND("]",INDEX(Blattnamen,COLUMN(#REF!))),""),"")</f>
        <v/>
      </c>
      <c r="AA2" s="11" t="str">
        <f>IFERROR(REPLACE(INDEX(Blattnamen,COLUMN(#REF!)),1,FIND("]",INDEX(Blattnamen,COLUMN(#REF!))),""),"")</f>
        <v/>
      </c>
      <c r="AB2" s="11" t="str">
        <f>IFERROR(REPLACE(INDEX(Blattnamen,COLUMN(#REF!)),1,FIND("]",INDEX(Blattnamen,COLUMN(#REF!))),""),"")</f>
        <v/>
      </c>
      <c r="AC2" s="11" t="str">
        <f>IFERROR(REPLACE(INDEX(Blattnamen,COLUMN(#REF!)),1,FIND("]",INDEX(Blattnamen,COLUMN(#REF!))),""),"")</f>
        <v/>
      </c>
      <c r="AD2" s="11" t="str">
        <f>IFERROR(REPLACE(INDEX(Blattnamen,COLUMN(#REF!)),1,FIND("]",INDEX(Blattnamen,COLUMN(#REF!))),""),"")</f>
        <v/>
      </c>
      <c r="AE2" s="11" t="str">
        <f>IFERROR(REPLACE(INDEX(Blattnamen,COLUMN(#REF!)),1,FIND("]",INDEX(Blattnamen,COLUMN(#REF!))),""),"")</f>
        <v/>
      </c>
      <c r="AF2" s="11" t="str">
        <f>IFERROR(REPLACE(INDEX(Blattnamen,COLUMN(#REF!)),1,FIND("]",INDEX(Blattnamen,COLUMN(#REF!))),""),"")</f>
        <v/>
      </c>
      <c r="AG2" s="11" t="str">
        <f>IFERROR(REPLACE(INDEX(Blattnamen,COLUMN(#REF!)),1,FIND("]",INDEX(Blattnamen,COLUMN(#REF!))),""),"")</f>
        <v/>
      </c>
      <c r="AH2" s="11" t="str">
        <f>IFERROR(REPLACE(INDEX(Blattnamen,COLUMN(#REF!)),1,FIND("]",INDEX(Blattnamen,COLUMN(#REF!))),""),"")</f>
        <v/>
      </c>
      <c r="AI2" s="11" t="str">
        <f>IFERROR(REPLACE(INDEX(Blattnamen,COLUMN(#REF!)),1,FIND("]",INDEX(Blattnamen,COLUMN(#REF!))),""),"")</f>
        <v/>
      </c>
      <c r="AJ2" s="11" t="str">
        <f>IFERROR(REPLACE(INDEX(Blattnamen,COLUMN(#REF!)),1,FIND("]",INDEX(Blattnamen,COLUMN(#REF!))),""),"")</f>
        <v/>
      </c>
      <c r="AK2" s="11" t="str">
        <f>IFERROR(REPLACE(INDEX(Blattnamen,COLUMN(#REF!)),1,FIND("]",INDEX(Blattnamen,COLUMN(#REF!))),""),"")</f>
        <v/>
      </c>
      <c r="AL2" s="11" t="str">
        <f>IFERROR(REPLACE(INDEX(Blattnamen,COLUMN(#REF!)),1,FIND("]",INDEX(Blattnamen,COLUMN(#REF!))),""),"")</f>
        <v/>
      </c>
      <c r="AM2" s="11" t="str">
        <f>IFERROR(REPLACE(INDEX(Blattnamen,COLUMN(#REF!)),1,FIND("]",INDEX(Blattnamen,COLUMN(#REF!))),""),"")</f>
        <v/>
      </c>
      <c r="AN2" s="11" t="str">
        <f>IFERROR(REPLACE(INDEX(Blattnamen,COLUMN(#REF!)),1,FIND("]",INDEX(Blattnamen,COLUMN(#REF!))),""),"")</f>
        <v/>
      </c>
      <c r="AO2" s="11" t="str">
        <f>IFERROR(REPLACE(INDEX(Blattnamen,COLUMN(#REF!)),1,FIND("]",INDEX(Blattnamen,COLUMN(#REF!))),""),"")</f>
        <v/>
      </c>
      <c r="AP2" s="11" t="str">
        <f>IFERROR(REPLACE(INDEX(Blattnamen,COLUMN(#REF!)),1,FIND("]",INDEX(Blattnamen,COLUMN(#REF!))),""),"")</f>
        <v/>
      </c>
      <c r="AQ2" s="11" t="str">
        <f>IFERROR(REPLACE(INDEX(Blattnamen,COLUMN(#REF!)),1,FIND("]",INDEX(Blattnamen,COLUMN(#REF!))),""),"")</f>
        <v/>
      </c>
      <c r="AR2" s="11" t="str">
        <f>IFERROR(REPLACE(INDEX(Blattnamen,COLUMN(#REF!)),1,FIND("]",INDEX(Blattnamen,COLUMN(#REF!))),""),"")</f>
        <v/>
      </c>
      <c r="AS2" s="11" t="str">
        <f>IFERROR(REPLACE(INDEX(Blattnamen,COLUMN(#REF!)),1,FIND("]",INDEX(Blattnamen,COLUMN(#REF!))),""),"")</f>
        <v/>
      </c>
      <c r="AT2" s="11" t="str">
        <f>IFERROR(REPLACE(INDEX(Blattnamen,COLUMN(#REF!)),1,FIND("]",INDEX(Blattnamen,COLUMN(#REF!))),""),"")</f>
        <v/>
      </c>
      <c r="AU2" s="11" t="str">
        <f>IFERROR(REPLACE(INDEX(Blattnamen,COLUMN(#REF!)),1,FIND("]",INDEX(Blattnamen,COLUMN(#REF!))),""),"")</f>
        <v/>
      </c>
      <c r="AV2" s="11" t="str">
        <f>IFERROR(REPLACE(INDEX(Blattnamen,COLUMN(#REF!)),1,FIND("]",INDEX(Blattnamen,COLUMN(#REF!))),""),"")</f>
        <v/>
      </c>
      <c r="AW2" s="11" t="str">
        <f>IFERROR(REPLACE(INDEX(Blattnamen,COLUMN(#REF!)),1,FIND("]",INDEX(Blattnamen,COLUMN(#REF!))),""),"")</f>
        <v/>
      </c>
      <c r="AX2" s="11" t="str">
        <f>IFERROR(REPLACE(INDEX(Blattnamen,COLUMN(#REF!)),1,FIND("]",INDEX(Blattnamen,COLUMN(#REF!))),""),"")</f>
        <v/>
      </c>
      <c r="AY2" s="11" t="str">
        <f>IFERROR(REPLACE(INDEX(Blattnamen,COLUMN(#REF!)),1,FIND("]",INDEX(Blattnamen,COLUMN(#REF!))),""),"")</f>
        <v/>
      </c>
      <c r="AZ2" s="11" t="str">
        <f>IFERROR(REPLACE(INDEX(Blattnamen,COLUMN(#REF!)),1,FIND("]",INDEX(Blattnamen,COLUMN(#REF!))),""),"")</f>
        <v/>
      </c>
      <c r="BA2" s="11" t="str">
        <f>IFERROR(REPLACE(INDEX(Blattnamen,COLUMN(#REF!)),1,FIND("]",INDEX(Blattnamen,COLUMN(#REF!))),""),"")</f>
        <v/>
      </c>
      <c r="BB2" s="11" t="str">
        <f>IFERROR(REPLACE(INDEX(Blattnamen,COLUMN(#REF!)),1,FIND("]",INDEX(Blattnamen,COLUMN(#REF!))),""),"")</f>
        <v/>
      </c>
      <c r="BC2" s="11" t="str">
        <f>IFERROR(REPLACE(INDEX(Blattnamen,COLUMN(#REF!)),1,FIND("]",INDEX(Blattnamen,COLUMN(#REF!))),""),"")</f>
        <v/>
      </c>
      <c r="BD2" s="11" t="str">
        <f>IFERROR(REPLACE(INDEX(Blattnamen,COLUMN(#REF!)),1,FIND("]",INDEX(Blattnamen,COLUMN(#REF!))),""),"")</f>
        <v/>
      </c>
      <c r="BE2" s="11" t="str">
        <f>IFERROR(REPLACE(INDEX(Blattnamen,COLUMN(#REF!)),1,FIND("]",INDEX(Blattnamen,COLUMN(#REF!))),""),"")</f>
        <v/>
      </c>
      <c r="BF2" s="11" t="str">
        <f>IFERROR(REPLACE(INDEX(Blattnamen,COLUMN(#REF!)),1,FIND("]",INDEX(Blattnamen,COLUMN(#REF!))),""),"")</f>
        <v/>
      </c>
      <c r="BG2" s="11" t="str">
        <f>IFERROR(REPLACE(INDEX(Blattnamen,COLUMN(#REF!)),1,FIND("]",INDEX(Blattnamen,COLUMN(#REF!))),""),"")</f>
        <v/>
      </c>
      <c r="BH2" s="11" t="str">
        <f>IFERROR(REPLACE(INDEX(Blattnamen,COLUMN(#REF!)),1,FIND("]",INDEX(Blattnamen,COLUMN(#REF!))),""),"")</f>
        <v/>
      </c>
      <c r="BI2" s="11" t="str">
        <f>IFERROR(REPLACE(INDEX(Blattnamen,COLUMN(#REF!)),1,FIND("]",INDEX(Blattnamen,COLUMN(#REF!))),""),"")</f>
        <v/>
      </c>
      <c r="BJ2" s="11" t="str">
        <f>IFERROR(REPLACE(INDEX(Blattnamen,COLUMN(#REF!)),1,FIND("]",INDEX(Blattnamen,COLUMN(#REF!))),""),"")</f>
        <v/>
      </c>
      <c r="BK2" s="11" t="str">
        <f>IFERROR(REPLACE(INDEX(Blattnamen,COLUMN(#REF!)),1,FIND("]",INDEX(Blattnamen,COLUMN(#REF!))),""),"")</f>
        <v/>
      </c>
      <c r="BL2" s="11" t="str">
        <f>IFERROR(REPLACE(INDEX(Blattnamen,COLUMN(#REF!)),1,FIND("]",INDEX(Blattnamen,COLUMN(#REF!))),""),"")</f>
        <v/>
      </c>
      <c r="BM2" s="11" t="str">
        <f>IFERROR(REPLACE(INDEX(Blattnamen,COLUMN(#REF!)),1,FIND("]",INDEX(Blattnamen,COLUMN(#REF!))),""),"")</f>
        <v/>
      </c>
      <c r="BN2" s="11" t="str">
        <f>IFERROR(REPLACE(INDEX(Blattnamen,COLUMN(#REF!)),1,FIND("]",INDEX(Blattnamen,COLUMN(#REF!))),""),"")</f>
        <v/>
      </c>
      <c r="BO2" s="11" t="str">
        <f>IFERROR(REPLACE(INDEX(Blattnamen,COLUMN(#REF!)),1,FIND("]",INDEX(Blattnamen,COLUMN(#REF!))),""),"")</f>
        <v/>
      </c>
      <c r="BP2" s="11" t="str">
        <f>IFERROR(REPLACE(INDEX(Blattnamen,COLUMN(#REF!)),1,FIND("]",INDEX(Blattnamen,COLUMN(#REF!))),""),"")</f>
        <v/>
      </c>
      <c r="BQ2" s="11" t="str">
        <f>IFERROR(REPLACE(INDEX(Blattnamen,COLUMN(#REF!)),1,FIND("]",INDEX(Blattnamen,COLUMN(#REF!))),""),"")</f>
        <v/>
      </c>
      <c r="BR2" s="11" t="str">
        <f>IFERROR(REPLACE(INDEX(Blattnamen,COLUMN(#REF!)),1,FIND("]",INDEX(Blattnamen,COLUMN(#REF!))),""),"")</f>
        <v/>
      </c>
      <c r="BS2" s="11" t="str">
        <f>IFERROR(REPLACE(INDEX(Blattnamen,COLUMN(#REF!)),1,FIND("]",INDEX(Blattnamen,COLUMN(#REF!))),""),"")</f>
        <v/>
      </c>
      <c r="BT2" s="11" t="str">
        <f>IFERROR(REPLACE(INDEX(Blattnamen,COLUMN(#REF!)),1,FIND("]",INDEX(Blattnamen,COLUMN(#REF!))),""),"")</f>
        <v/>
      </c>
      <c r="BU2" s="11" t="str">
        <f>IFERROR(REPLACE(INDEX(Blattnamen,COLUMN(#REF!)),1,FIND("]",INDEX(Blattnamen,COLUMN(#REF!))),""),"")</f>
        <v/>
      </c>
      <c r="BV2" s="11" t="str">
        <f>IFERROR(REPLACE(INDEX(Blattnamen,COLUMN(#REF!)),1,FIND("]",INDEX(Blattnamen,COLUMN(#REF!))),""),"")</f>
        <v/>
      </c>
      <c r="BW2" s="11" t="str">
        <f>IFERROR(REPLACE(INDEX(Blattnamen,COLUMN(#REF!)),1,FIND("]",INDEX(Blattnamen,COLUMN(#REF!))),""),"")</f>
        <v/>
      </c>
      <c r="BX2" s="11" t="str">
        <f>IFERROR(REPLACE(INDEX(Blattnamen,COLUMN(#REF!)),1,FIND("]",INDEX(Blattnamen,COLUMN(#REF!))),""),"")</f>
        <v/>
      </c>
      <c r="BY2" s="11" t="str">
        <f>IFERROR(REPLACE(INDEX(Blattnamen,COLUMN(#REF!)),1,FIND("]",INDEX(Blattnamen,COLUMN(#REF!))),""),"")</f>
        <v/>
      </c>
      <c r="BZ2" s="11" t="str">
        <f>IFERROR(REPLACE(INDEX(Blattnamen,COLUMN(#REF!)),1,FIND("]",INDEX(Blattnamen,COLUMN(#REF!))),""),"")</f>
        <v/>
      </c>
      <c r="CA2" s="11" t="str">
        <f>IFERROR(REPLACE(INDEX(Blattnamen,COLUMN(#REF!)),1,FIND("]",INDEX(Blattnamen,COLUMN(#REF!))),""),"")</f>
        <v/>
      </c>
      <c r="CB2" s="11" t="str">
        <f>IFERROR(REPLACE(INDEX(Blattnamen,COLUMN(#REF!)),1,FIND("]",INDEX(Blattnamen,COLUMN(#REF!))),""),"")</f>
        <v/>
      </c>
      <c r="CC2" s="11" t="str">
        <f>IFERROR(REPLACE(INDEX(Blattnamen,COLUMN(#REF!)),1,FIND("]",INDEX(Blattnamen,COLUMN(#REF!))),""),"")</f>
        <v/>
      </c>
      <c r="CD2" s="11" t="str">
        <f>IFERROR(REPLACE(INDEX(Blattnamen,COLUMN(#REF!)),1,FIND("]",INDEX(Blattnamen,COLUMN(#REF!))),""),"")</f>
        <v/>
      </c>
      <c r="CE2" s="11" t="str">
        <f>IFERROR(REPLACE(INDEX(Blattnamen,COLUMN(#REF!)),1,FIND("]",INDEX(Blattnamen,COLUMN(#REF!))),""),"")</f>
        <v/>
      </c>
      <c r="CF2" s="11" t="str">
        <f>IFERROR(REPLACE(INDEX(Blattnamen,COLUMN(#REF!)),1,FIND("]",INDEX(Blattnamen,COLUMN(#REF!))),""),"")</f>
        <v/>
      </c>
      <c r="CG2" s="11" t="str">
        <f>IFERROR(REPLACE(INDEX(Blattnamen,COLUMN(#REF!)),1,FIND("]",INDEX(Blattnamen,COLUMN(#REF!))),""),"")</f>
        <v/>
      </c>
      <c r="CH2" s="11" t="str">
        <f>IFERROR(REPLACE(INDEX(Blattnamen,COLUMN(#REF!)),1,FIND("]",INDEX(Blattnamen,COLUMN(#REF!))),""),"")</f>
        <v/>
      </c>
      <c r="CI2" s="11" t="str">
        <f>IFERROR(REPLACE(INDEX(Blattnamen,COLUMN(#REF!)),1,FIND("]",INDEX(Blattnamen,COLUMN(#REF!))),""),"")</f>
        <v/>
      </c>
      <c r="CJ2" s="11" t="str">
        <f>IFERROR(REPLACE(INDEX(Blattnamen,COLUMN(#REF!)),1,FIND("]",INDEX(Blattnamen,COLUMN(#REF!))),""),"")</f>
        <v/>
      </c>
      <c r="CK2" s="11" t="str">
        <f>IFERROR(REPLACE(INDEX(Blattnamen,COLUMN(#REF!)),1,FIND("]",INDEX(Blattnamen,COLUMN(#REF!))),""),"")</f>
        <v/>
      </c>
      <c r="CL2" s="11" t="str">
        <f>IFERROR(REPLACE(INDEX(Blattnamen,COLUMN(#REF!)),1,FIND("]",INDEX(Blattnamen,COLUMN(#REF!))),""),"")</f>
        <v/>
      </c>
      <c r="CM2" s="11" t="str">
        <f>IFERROR(REPLACE(INDEX(Blattnamen,COLUMN(#REF!)),1,FIND("]",INDEX(Blattnamen,COLUMN(#REF!))),""),"")</f>
        <v/>
      </c>
      <c r="CN2" s="11" t="str">
        <f>IFERROR(REPLACE(INDEX(Blattnamen,COLUMN(#REF!)),1,FIND("]",INDEX(Blattnamen,COLUMN(#REF!))),""),"")</f>
        <v/>
      </c>
      <c r="CO2" s="11" t="str">
        <f>IFERROR(REPLACE(INDEX(Blattnamen,COLUMN(#REF!)),1,FIND("]",INDEX(Blattnamen,COLUMN(#REF!))),""),"")</f>
        <v/>
      </c>
      <c r="CP2" s="11" t="str">
        <f>IFERROR(REPLACE(INDEX(Blattnamen,COLUMN(#REF!)),1,FIND("]",INDEX(Blattnamen,COLUMN(#REF!))),""),"")</f>
        <v/>
      </c>
      <c r="CQ2" s="11" t="str">
        <f>IFERROR(REPLACE(INDEX(Blattnamen,COLUMN(#REF!)),1,FIND("]",INDEX(Blattnamen,COLUMN(#REF!))),""),"")</f>
        <v/>
      </c>
      <c r="CR2" s="11" t="str">
        <f>IFERROR(REPLACE(INDEX(Blattnamen,COLUMN(#REF!)),1,FIND("]",INDEX(Blattnamen,COLUMN(#REF!))),""),"")</f>
        <v/>
      </c>
      <c r="CS2" s="11" t="str">
        <f>IFERROR(REPLACE(INDEX(Blattnamen,COLUMN(#REF!)),1,FIND("]",INDEX(Blattnamen,COLUMN(#REF!))),""),"")</f>
        <v/>
      </c>
      <c r="CT2" s="11" t="str">
        <f>IFERROR(REPLACE(INDEX(Blattnamen,COLUMN(#REF!)),1,FIND("]",INDEX(Blattnamen,COLUMN(#REF!))),""),"")</f>
        <v/>
      </c>
      <c r="CU2" s="11" t="str">
        <f>IFERROR(REPLACE(INDEX(Blattnamen,COLUMN(#REF!)),1,FIND("]",INDEX(Blattnamen,COLUMN(#REF!))),""),"")</f>
        <v/>
      </c>
      <c r="CV2" s="11" t="str">
        <f>IFERROR(REPLACE(INDEX(Blattnamen,COLUMN(#REF!)),1,FIND("]",INDEX(Blattnamen,COLUMN(#REF!))),""),"")</f>
        <v/>
      </c>
      <c r="CW2" s="11" t="str">
        <f>IFERROR(REPLACE(INDEX(Blattnamen,COLUMN(#REF!)),1,FIND("]",INDEX(Blattnamen,COLUMN(#REF!))),""),"")</f>
        <v/>
      </c>
      <c r="CX2" s="11" t="str">
        <f>IFERROR(REPLACE(INDEX(Blattnamen,COLUMN(#REF!)),1,FIND("]",INDEX(Blattnamen,COLUMN(#REF!))),""),"")</f>
        <v/>
      </c>
      <c r="CY2" s="11" t="str">
        <f>IFERROR(REPLACE(INDEX(Blattnamen,COLUMN(#REF!)),1,FIND("]",INDEX(Blattnamen,COLUMN(#REF!))),""),"")</f>
        <v/>
      </c>
    </row>
    <row r="3" spans="1:111" s="20" customFormat="1" ht="23.25" customHeight="1">
      <c r="A3" s="21" t="s">
        <v>8</v>
      </c>
      <c r="B3" s="18"/>
      <c r="C3" s="19">
        <f ca="1">IF(OR($C$16="",SUM(C18:C21)&lt;$C17),"",IF(SUM(C$18:C$20)&lt;&gt;0,(C$18*1+C$19*0.5)/SUM(C$18:C$20),0))</f>
        <v>0</v>
      </c>
      <c r="D3" s="19">
        <f ca="1">_xlfn.IFS(OR(D$16="",SUM($C$18:$C$21)&lt;$C17,SUM(D$18:D$21)&lt;$C18),"",AND(SUM($C$18:$C$20)=0,$C$21&gt;0),"0",SUM(D$18:D$20)=0,0,SUM(D$18:D$20)&lt;&gt;0,(D$18*1+D$19*0.5)/SUM($C$18:$C$20))</f>
        <v>0</v>
      </c>
      <c r="E3" s="19" t="str">
        <f ca="1">_xlfn.IFS(OR(E$16="",SUM($C$18:$C$21)&lt;$C17,SUM(E$18:E$21)&lt;$C18),"",AND(SUM($C$18:$C$20)=0,$C$21&gt;0),"n/a",SUM(E$18:E$20)=0,0,SUM(E$18:E$20)&lt;&gt;0,(E$18*1+E$19*0.5)/SUM($C$18:$C$20))</f>
        <v/>
      </c>
      <c r="F3" s="19" t="str">
        <f t="shared" ref="F3:BQ3" ca="1" si="0">_xlfn.IFS(OR(F$16="",SUM($C$18:$C$21)&lt;$C17,SUM(F$18:F$21)&lt;$C18),"",AND(SUM($C$18:$C$20)=0,$C$21&gt;0),"n/a",SUM(F$18:F$20)=0,0,SUM(F$18:F$20)&lt;&gt;0,(F$18*1+F$19*0.5)/SUM($C$18:$C$20))</f>
        <v/>
      </c>
      <c r="G3" s="19" t="str">
        <f t="shared" ca="1" si="0"/>
        <v/>
      </c>
      <c r="H3" s="19" t="str">
        <f t="shared" ca="1" si="0"/>
        <v/>
      </c>
      <c r="I3" s="19" t="str">
        <f t="shared" ca="1" si="0"/>
        <v/>
      </c>
      <c r="J3" s="19" t="str">
        <f t="shared" ca="1" si="0"/>
        <v/>
      </c>
      <c r="K3" s="19" t="str">
        <f t="shared" ca="1" si="0"/>
        <v/>
      </c>
      <c r="L3" s="19" t="str">
        <f t="shared" ca="1" si="0"/>
        <v/>
      </c>
      <c r="M3" s="19" t="str">
        <f t="shared" ca="1" si="0"/>
        <v/>
      </c>
      <c r="N3" s="19" t="str">
        <f t="shared" ca="1" si="0"/>
        <v/>
      </c>
      <c r="O3" s="19" t="str">
        <f t="shared" ca="1" si="0"/>
        <v/>
      </c>
      <c r="P3" s="19" t="str">
        <f t="shared" ca="1" si="0"/>
        <v/>
      </c>
      <c r="Q3" s="19" t="str">
        <f t="shared" ca="1" si="0"/>
        <v/>
      </c>
      <c r="R3" s="19" t="str">
        <f t="shared" ca="1" si="0"/>
        <v/>
      </c>
      <c r="S3" s="19" t="str">
        <f t="shared" ca="1" si="0"/>
        <v/>
      </c>
      <c r="T3" s="19" t="str">
        <f t="shared" ca="1" si="0"/>
        <v/>
      </c>
      <c r="U3" s="19" t="str">
        <f t="shared" ca="1" si="0"/>
        <v/>
      </c>
      <c r="V3" s="19" t="str">
        <f t="shared" ca="1" si="0"/>
        <v/>
      </c>
      <c r="W3" s="19" t="str">
        <f t="shared" ca="1" si="0"/>
        <v/>
      </c>
      <c r="X3" s="19" t="str">
        <f t="shared" ca="1" si="0"/>
        <v/>
      </c>
      <c r="Y3" s="19" t="str">
        <f t="shared" ca="1" si="0"/>
        <v/>
      </c>
      <c r="Z3" s="19" t="str">
        <f t="shared" ca="1" si="0"/>
        <v/>
      </c>
      <c r="AA3" s="19" t="str">
        <f t="shared" ca="1" si="0"/>
        <v/>
      </c>
      <c r="AB3" s="19" t="str">
        <f t="shared" ca="1" si="0"/>
        <v/>
      </c>
      <c r="AC3" s="19" t="str">
        <f t="shared" ca="1" si="0"/>
        <v/>
      </c>
      <c r="AD3" s="19" t="str">
        <f t="shared" ca="1" si="0"/>
        <v/>
      </c>
      <c r="AE3" s="19" t="str">
        <f t="shared" ca="1" si="0"/>
        <v/>
      </c>
      <c r="AF3" s="19" t="str">
        <f t="shared" ca="1" si="0"/>
        <v/>
      </c>
      <c r="AG3" s="19" t="str">
        <f t="shared" ca="1" si="0"/>
        <v/>
      </c>
      <c r="AH3" s="19" t="str">
        <f t="shared" ca="1" si="0"/>
        <v/>
      </c>
      <c r="AI3" s="19" t="str">
        <f t="shared" ca="1" si="0"/>
        <v/>
      </c>
      <c r="AJ3" s="19" t="str">
        <f t="shared" ca="1" si="0"/>
        <v/>
      </c>
      <c r="AK3" s="19" t="str">
        <f t="shared" ca="1" si="0"/>
        <v/>
      </c>
      <c r="AL3" s="19" t="str">
        <f t="shared" ca="1" si="0"/>
        <v/>
      </c>
      <c r="AM3" s="19" t="str">
        <f t="shared" ca="1" si="0"/>
        <v/>
      </c>
      <c r="AN3" s="19" t="str">
        <f t="shared" ca="1" si="0"/>
        <v/>
      </c>
      <c r="AO3" s="19" t="str">
        <f t="shared" ca="1" si="0"/>
        <v/>
      </c>
      <c r="AP3" s="19" t="str">
        <f t="shared" ca="1" si="0"/>
        <v/>
      </c>
      <c r="AQ3" s="19" t="str">
        <f t="shared" ca="1" si="0"/>
        <v/>
      </c>
      <c r="AR3" s="19" t="str">
        <f t="shared" ca="1" si="0"/>
        <v/>
      </c>
      <c r="AS3" s="19" t="str">
        <f t="shared" ca="1" si="0"/>
        <v/>
      </c>
      <c r="AT3" s="19" t="str">
        <f t="shared" ca="1" si="0"/>
        <v/>
      </c>
      <c r="AU3" s="19" t="str">
        <f t="shared" ca="1" si="0"/>
        <v/>
      </c>
      <c r="AV3" s="19" t="str">
        <f t="shared" ca="1" si="0"/>
        <v/>
      </c>
      <c r="AW3" s="19" t="str">
        <f t="shared" ca="1" si="0"/>
        <v/>
      </c>
      <c r="AX3" s="19" t="str">
        <f t="shared" ca="1" si="0"/>
        <v/>
      </c>
      <c r="AY3" s="19" t="str">
        <f t="shared" ca="1" si="0"/>
        <v/>
      </c>
      <c r="AZ3" s="19" t="str">
        <f t="shared" ca="1" si="0"/>
        <v/>
      </c>
      <c r="BA3" s="19" t="str">
        <f t="shared" ca="1" si="0"/>
        <v/>
      </c>
      <c r="BB3" s="19" t="str">
        <f t="shared" ca="1" si="0"/>
        <v/>
      </c>
      <c r="BC3" s="19" t="str">
        <f t="shared" ca="1" si="0"/>
        <v/>
      </c>
      <c r="BD3" s="19" t="str">
        <f t="shared" ca="1" si="0"/>
        <v/>
      </c>
      <c r="BE3" s="19" t="str">
        <f t="shared" ca="1" si="0"/>
        <v/>
      </c>
      <c r="BF3" s="19" t="str">
        <f t="shared" ca="1" si="0"/>
        <v/>
      </c>
      <c r="BG3" s="19" t="str">
        <f t="shared" ca="1" si="0"/>
        <v/>
      </c>
      <c r="BH3" s="19" t="str">
        <f t="shared" ca="1" si="0"/>
        <v/>
      </c>
      <c r="BI3" s="19" t="str">
        <f t="shared" ca="1" si="0"/>
        <v/>
      </c>
      <c r="BJ3" s="19" t="str">
        <f t="shared" ca="1" si="0"/>
        <v/>
      </c>
      <c r="BK3" s="19" t="str">
        <f t="shared" ca="1" si="0"/>
        <v/>
      </c>
      <c r="BL3" s="19" t="str">
        <f t="shared" ca="1" si="0"/>
        <v/>
      </c>
      <c r="BM3" s="19" t="str">
        <f t="shared" ca="1" si="0"/>
        <v/>
      </c>
      <c r="BN3" s="19" t="str">
        <f t="shared" ca="1" si="0"/>
        <v/>
      </c>
      <c r="BO3" s="19" t="str">
        <f t="shared" ca="1" si="0"/>
        <v/>
      </c>
      <c r="BP3" s="19" t="str">
        <f t="shared" ca="1" si="0"/>
        <v/>
      </c>
      <c r="BQ3" s="19" t="str">
        <f t="shared" ca="1" si="0"/>
        <v/>
      </c>
      <c r="BR3" s="19" t="str">
        <f t="shared" ref="BR3:CY3" ca="1" si="1">_xlfn.IFS(OR(BR$16="",SUM($C$18:$C$21)&lt;$C17,SUM(BR$18:BR$21)&lt;$C18),"",AND(SUM($C$18:$C$20)=0,$C$21&gt;0),"n/a",SUM(BR$18:BR$20)=0,0,SUM(BR$18:BR$20)&lt;&gt;0,(BR$18*1+BR$19*0.5)/SUM($C$18:$C$20))</f>
        <v/>
      </c>
      <c r="BS3" s="19" t="str">
        <f t="shared" ca="1" si="1"/>
        <v/>
      </c>
      <c r="BT3" s="19" t="str">
        <f t="shared" ca="1" si="1"/>
        <v/>
      </c>
      <c r="BU3" s="19" t="str">
        <f t="shared" ca="1" si="1"/>
        <v/>
      </c>
      <c r="BV3" s="19" t="str">
        <f t="shared" ca="1" si="1"/>
        <v/>
      </c>
      <c r="BW3" s="19" t="str">
        <f t="shared" ca="1" si="1"/>
        <v/>
      </c>
      <c r="BX3" s="19" t="str">
        <f t="shared" ca="1" si="1"/>
        <v/>
      </c>
      <c r="BY3" s="19" t="str">
        <f t="shared" ca="1" si="1"/>
        <v/>
      </c>
      <c r="BZ3" s="19" t="str">
        <f t="shared" ca="1" si="1"/>
        <v/>
      </c>
      <c r="CA3" s="19" t="str">
        <f t="shared" ca="1" si="1"/>
        <v/>
      </c>
      <c r="CB3" s="19" t="str">
        <f t="shared" ca="1" si="1"/>
        <v/>
      </c>
      <c r="CC3" s="19" t="str">
        <f t="shared" ca="1" si="1"/>
        <v/>
      </c>
      <c r="CD3" s="19" t="str">
        <f t="shared" ca="1" si="1"/>
        <v/>
      </c>
      <c r="CE3" s="19" t="str">
        <f t="shared" ca="1" si="1"/>
        <v/>
      </c>
      <c r="CF3" s="19" t="str">
        <f t="shared" ca="1" si="1"/>
        <v/>
      </c>
      <c r="CG3" s="19" t="str">
        <f t="shared" ca="1" si="1"/>
        <v/>
      </c>
      <c r="CH3" s="19" t="str">
        <f t="shared" ca="1" si="1"/>
        <v/>
      </c>
      <c r="CI3" s="19" t="str">
        <f t="shared" ca="1" si="1"/>
        <v/>
      </c>
      <c r="CJ3" s="19" t="str">
        <f t="shared" ca="1" si="1"/>
        <v/>
      </c>
      <c r="CK3" s="19" t="str">
        <f t="shared" ca="1" si="1"/>
        <v/>
      </c>
      <c r="CL3" s="19" t="str">
        <f t="shared" ca="1" si="1"/>
        <v/>
      </c>
      <c r="CM3" s="19" t="str">
        <f t="shared" ca="1" si="1"/>
        <v/>
      </c>
      <c r="CN3" s="19" t="str">
        <f t="shared" ca="1" si="1"/>
        <v/>
      </c>
      <c r="CO3" s="19" t="str">
        <f t="shared" ca="1" si="1"/>
        <v/>
      </c>
      <c r="CP3" s="19" t="str">
        <f t="shared" ca="1" si="1"/>
        <v/>
      </c>
      <c r="CQ3" s="19" t="str">
        <f t="shared" ca="1" si="1"/>
        <v/>
      </c>
      <c r="CR3" s="19" t="str">
        <f t="shared" ca="1" si="1"/>
        <v/>
      </c>
      <c r="CS3" s="19" t="str">
        <f t="shared" ca="1" si="1"/>
        <v/>
      </c>
      <c r="CT3" s="19" t="str">
        <f t="shared" ca="1" si="1"/>
        <v/>
      </c>
      <c r="CU3" s="19" t="str">
        <f t="shared" ca="1" si="1"/>
        <v/>
      </c>
      <c r="CV3" s="19" t="str">
        <f t="shared" ca="1" si="1"/>
        <v/>
      </c>
      <c r="CW3" s="19" t="str">
        <f t="shared" ca="1" si="1"/>
        <v/>
      </c>
      <c r="CX3" s="19" t="str">
        <f t="shared" ca="1" si="1"/>
        <v/>
      </c>
      <c r="CY3" s="19" t="str">
        <f t="shared" ca="1" si="1"/>
        <v/>
      </c>
      <c r="CZ3" s="12"/>
      <c r="DA3" s="12"/>
      <c r="DB3" s="12"/>
      <c r="DC3" s="12"/>
      <c r="DD3" s="12"/>
      <c r="DE3" s="12"/>
      <c r="DF3" s="12"/>
      <c r="DG3" s="12"/>
    </row>
    <row r="4" spans="1:111" s="20" customFormat="1" ht="23.25" customHeight="1">
      <c r="A4" s="21" t="s">
        <v>9</v>
      </c>
      <c r="B4" s="18"/>
      <c r="C4" s="26">
        <f ca="1">IF(OR($C$16="",SUM(C23:C26)&lt;$C22),"",IF(SUM(C$23:C$25)&lt;&gt;0,(C$23*1+C$24*0.5)/SUM(C$23:C$25),0))</f>
        <v>0</v>
      </c>
      <c r="D4" s="19">
        <f ca="1">_xlfn.IFS(OR(D$16="",SUM($C$23:$C$26)&lt;$C22,SUM(D$23:D$26)&lt;$C23),"",AND(SUM($C$23:$C$25)=0,$C$26&gt;0),"0",SUM(D$23:D$25)=0,0,SUM(D$23:D$25)&lt;&gt;0,(D$23*1+D$24*0.5)/SUM($C$23:$C$25))</f>
        <v>0</v>
      </c>
      <c r="E4" s="19" t="str">
        <f t="shared" ref="E4:BP4" ca="1" si="2">_xlfn.IFS(OR(E$16="",SUM($C$23:$C$26)&lt;$C22,SUM(E$23:E$26)&lt;$C23),"",AND(SUM($C$23:$C$25)=0,$C$26&gt;0),"n/a",SUM(E$23:E$25)=0,0,SUM(E$23:E$25)&lt;&gt;0,(E$23*1+E$24*0.5)/SUM($C$23:$C$25))</f>
        <v/>
      </c>
      <c r="F4" s="19" t="str">
        <f t="shared" ca="1" si="2"/>
        <v/>
      </c>
      <c r="G4" s="19" t="str">
        <f t="shared" ca="1" si="2"/>
        <v/>
      </c>
      <c r="H4" s="19" t="str">
        <f t="shared" ca="1" si="2"/>
        <v/>
      </c>
      <c r="I4" s="19" t="str">
        <f t="shared" ca="1" si="2"/>
        <v/>
      </c>
      <c r="J4" s="19" t="str">
        <f t="shared" ca="1" si="2"/>
        <v/>
      </c>
      <c r="K4" s="19" t="str">
        <f t="shared" ca="1" si="2"/>
        <v/>
      </c>
      <c r="L4" s="19" t="str">
        <f t="shared" ca="1" si="2"/>
        <v/>
      </c>
      <c r="M4" s="19" t="str">
        <f t="shared" ca="1" si="2"/>
        <v/>
      </c>
      <c r="N4" s="19" t="str">
        <f t="shared" ca="1" si="2"/>
        <v/>
      </c>
      <c r="O4" s="19" t="str">
        <f t="shared" ca="1" si="2"/>
        <v/>
      </c>
      <c r="P4" s="19" t="str">
        <f t="shared" ca="1" si="2"/>
        <v/>
      </c>
      <c r="Q4" s="19" t="str">
        <f t="shared" ca="1" si="2"/>
        <v/>
      </c>
      <c r="R4" s="19" t="str">
        <f t="shared" ca="1" si="2"/>
        <v/>
      </c>
      <c r="S4" s="19" t="str">
        <f t="shared" ca="1" si="2"/>
        <v/>
      </c>
      <c r="T4" s="19" t="str">
        <f t="shared" ca="1" si="2"/>
        <v/>
      </c>
      <c r="U4" s="19" t="str">
        <f t="shared" ca="1" si="2"/>
        <v/>
      </c>
      <c r="V4" s="19" t="str">
        <f t="shared" ca="1" si="2"/>
        <v/>
      </c>
      <c r="W4" s="19" t="str">
        <f t="shared" ca="1" si="2"/>
        <v/>
      </c>
      <c r="X4" s="19" t="str">
        <f t="shared" ca="1" si="2"/>
        <v/>
      </c>
      <c r="Y4" s="19" t="str">
        <f t="shared" ca="1" si="2"/>
        <v/>
      </c>
      <c r="Z4" s="19" t="str">
        <f t="shared" ca="1" si="2"/>
        <v/>
      </c>
      <c r="AA4" s="19" t="str">
        <f t="shared" ca="1" si="2"/>
        <v/>
      </c>
      <c r="AB4" s="19" t="str">
        <f t="shared" ca="1" si="2"/>
        <v/>
      </c>
      <c r="AC4" s="19" t="str">
        <f t="shared" ca="1" si="2"/>
        <v/>
      </c>
      <c r="AD4" s="19" t="str">
        <f t="shared" ca="1" si="2"/>
        <v/>
      </c>
      <c r="AE4" s="19" t="str">
        <f t="shared" ca="1" si="2"/>
        <v/>
      </c>
      <c r="AF4" s="19" t="str">
        <f t="shared" ca="1" si="2"/>
        <v/>
      </c>
      <c r="AG4" s="19" t="str">
        <f t="shared" ca="1" si="2"/>
        <v/>
      </c>
      <c r="AH4" s="19" t="str">
        <f t="shared" ca="1" si="2"/>
        <v/>
      </c>
      <c r="AI4" s="19" t="str">
        <f t="shared" ca="1" si="2"/>
        <v/>
      </c>
      <c r="AJ4" s="19" t="str">
        <f t="shared" ca="1" si="2"/>
        <v/>
      </c>
      <c r="AK4" s="19" t="str">
        <f t="shared" ca="1" si="2"/>
        <v/>
      </c>
      <c r="AL4" s="19" t="str">
        <f t="shared" ca="1" si="2"/>
        <v/>
      </c>
      <c r="AM4" s="19" t="str">
        <f t="shared" ca="1" si="2"/>
        <v/>
      </c>
      <c r="AN4" s="19" t="str">
        <f t="shared" ca="1" si="2"/>
        <v/>
      </c>
      <c r="AO4" s="19" t="str">
        <f t="shared" ca="1" si="2"/>
        <v/>
      </c>
      <c r="AP4" s="19" t="str">
        <f t="shared" ca="1" si="2"/>
        <v/>
      </c>
      <c r="AQ4" s="19" t="str">
        <f t="shared" ca="1" si="2"/>
        <v/>
      </c>
      <c r="AR4" s="19" t="str">
        <f t="shared" ca="1" si="2"/>
        <v/>
      </c>
      <c r="AS4" s="19" t="str">
        <f t="shared" ca="1" si="2"/>
        <v/>
      </c>
      <c r="AT4" s="19" t="str">
        <f t="shared" ca="1" si="2"/>
        <v/>
      </c>
      <c r="AU4" s="19" t="str">
        <f t="shared" ca="1" si="2"/>
        <v/>
      </c>
      <c r="AV4" s="19" t="str">
        <f t="shared" ca="1" si="2"/>
        <v/>
      </c>
      <c r="AW4" s="19" t="str">
        <f t="shared" ca="1" si="2"/>
        <v/>
      </c>
      <c r="AX4" s="19" t="str">
        <f t="shared" ca="1" si="2"/>
        <v/>
      </c>
      <c r="AY4" s="19" t="str">
        <f t="shared" ca="1" si="2"/>
        <v/>
      </c>
      <c r="AZ4" s="19" t="str">
        <f t="shared" ca="1" si="2"/>
        <v/>
      </c>
      <c r="BA4" s="19" t="str">
        <f t="shared" ca="1" si="2"/>
        <v/>
      </c>
      <c r="BB4" s="19" t="str">
        <f t="shared" ca="1" si="2"/>
        <v/>
      </c>
      <c r="BC4" s="19" t="str">
        <f t="shared" ca="1" si="2"/>
        <v/>
      </c>
      <c r="BD4" s="19" t="str">
        <f t="shared" ca="1" si="2"/>
        <v/>
      </c>
      <c r="BE4" s="19" t="str">
        <f t="shared" ca="1" si="2"/>
        <v/>
      </c>
      <c r="BF4" s="19" t="str">
        <f t="shared" ca="1" si="2"/>
        <v/>
      </c>
      <c r="BG4" s="19" t="str">
        <f t="shared" ca="1" si="2"/>
        <v/>
      </c>
      <c r="BH4" s="19" t="str">
        <f t="shared" ca="1" si="2"/>
        <v/>
      </c>
      <c r="BI4" s="19" t="str">
        <f t="shared" ca="1" si="2"/>
        <v/>
      </c>
      <c r="BJ4" s="19" t="str">
        <f t="shared" ca="1" si="2"/>
        <v/>
      </c>
      <c r="BK4" s="19" t="str">
        <f t="shared" ca="1" si="2"/>
        <v/>
      </c>
      <c r="BL4" s="19" t="str">
        <f t="shared" ca="1" si="2"/>
        <v/>
      </c>
      <c r="BM4" s="19" t="str">
        <f t="shared" ca="1" si="2"/>
        <v/>
      </c>
      <c r="BN4" s="19" t="str">
        <f t="shared" ca="1" si="2"/>
        <v/>
      </c>
      <c r="BO4" s="19" t="str">
        <f t="shared" ca="1" si="2"/>
        <v/>
      </c>
      <c r="BP4" s="19" t="str">
        <f t="shared" ca="1" si="2"/>
        <v/>
      </c>
      <c r="BQ4" s="19" t="str">
        <f t="shared" ref="BQ4:CY4" ca="1" si="3">_xlfn.IFS(OR(BQ$16="",SUM($C$23:$C$26)&lt;$C22,SUM(BQ$23:BQ$26)&lt;$C23),"",AND(SUM($C$23:$C$25)=0,$C$26&gt;0),"n/a",SUM(BQ$23:BQ$25)=0,0,SUM(BQ$23:BQ$25)&lt;&gt;0,(BQ$23*1+BQ$24*0.5)/SUM($C$23:$C$25))</f>
        <v/>
      </c>
      <c r="BR4" s="19" t="str">
        <f t="shared" ca="1" si="3"/>
        <v/>
      </c>
      <c r="BS4" s="19" t="str">
        <f t="shared" ca="1" si="3"/>
        <v/>
      </c>
      <c r="BT4" s="19" t="str">
        <f t="shared" ca="1" si="3"/>
        <v/>
      </c>
      <c r="BU4" s="19" t="str">
        <f t="shared" ca="1" si="3"/>
        <v/>
      </c>
      <c r="BV4" s="19" t="str">
        <f t="shared" ca="1" si="3"/>
        <v/>
      </c>
      <c r="BW4" s="19" t="str">
        <f t="shared" ca="1" si="3"/>
        <v/>
      </c>
      <c r="BX4" s="19" t="str">
        <f t="shared" ca="1" si="3"/>
        <v/>
      </c>
      <c r="BY4" s="19" t="str">
        <f t="shared" ca="1" si="3"/>
        <v/>
      </c>
      <c r="BZ4" s="19" t="str">
        <f t="shared" ca="1" si="3"/>
        <v/>
      </c>
      <c r="CA4" s="19" t="str">
        <f t="shared" ca="1" si="3"/>
        <v/>
      </c>
      <c r="CB4" s="19" t="str">
        <f t="shared" ca="1" si="3"/>
        <v/>
      </c>
      <c r="CC4" s="19" t="str">
        <f t="shared" ca="1" si="3"/>
        <v/>
      </c>
      <c r="CD4" s="19" t="str">
        <f t="shared" ca="1" si="3"/>
        <v/>
      </c>
      <c r="CE4" s="19" t="str">
        <f t="shared" ca="1" si="3"/>
        <v/>
      </c>
      <c r="CF4" s="19" t="str">
        <f t="shared" ca="1" si="3"/>
        <v/>
      </c>
      <c r="CG4" s="19" t="str">
        <f t="shared" ca="1" si="3"/>
        <v/>
      </c>
      <c r="CH4" s="19" t="str">
        <f t="shared" ca="1" si="3"/>
        <v/>
      </c>
      <c r="CI4" s="19" t="str">
        <f t="shared" ca="1" si="3"/>
        <v/>
      </c>
      <c r="CJ4" s="19" t="str">
        <f t="shared" ca="1" si="3"/>
        <v/>
      </c>
      <c r="CK4" s="19" t="str">
        <f t="shared" ca="1" si="3"/>
        <v/>
      </c>
      <c r="CL4" s="19" t="str">
        <f t="shared" ca="1" si="3"/>
        <v/>
      </c>
      <c r="CM4" s="19" t="str">
        <f t="shared" ca="1" si="3"/>
        <v/>
      </c>
      <c r="CN4" s="19" t="str">
        <f t="shared" ca="1" si="3"/>
        <v/>
      </c>
      <c r="CO4" s="19" t="str">
        <f t="shared" ca="1" si="3"/>
        <v/>
      </c>
      <c r="CP4" s="19" t="str">
        <f t="shared" ca="1" si="3"/>
        <v/>
      </c>
      <c r="CQ4" s="19" t="str">
        <f t="shared" ca="1" si="3"/>
        <v/>
      </c>
      <c r="CR4" s="19" t="str">
        <f t="shared" ca="1" si="3"/>
        <v/>
      </c>
      <c r="CS4" s="19" t="str">
        <f t="shared" ca="1" si="3"/>
        <v/>
      </c>
      <c r="CT4" s="19" t="str">
        <f t="shared" ca="1" si="3"/>
        <v/>
      </c>
      <c r="CU4" s="19" t="str">
        <f t="shared" ca="1" si="3"/>
        <v/>
      </c>
      <c r="CV4" s="19" t="str">
        <f t="shared" ca="1" si="3"/>
        <v/>
      </c>
      <c r="CW4" s="19" t="str">
        <f t="shared" ca="1" si="3"/>
        <v/>
      </c>
      <c r="CX4" s="19" t="str">
        <f t="shared" ca="1" si="3"/>
        <v/>
      </c>
      <c r="CY4" s="19" t="str">
        <f t="shared" ca="1" si="3"/>
        <v/>
      </c>
    </row>
    <row r="5" spans="1:111" s="20" customFormat="1" ht="23.25" customHeight="1">
      <c r="A5" s="21" t="s">
        <v>10</v>
      </c>
      <c r="B5" s="18"/>
      <c r="C5" s="19">
        <f ca="1">IF(OR($C$16="",SUM(C28:C31)&lt;$C27),"",IF(SUM(C$28:C$30)&lt;&gt;0,(C$28*1+C$29*0.5)/SUM(C$28:C$30),0))</f>
        <v>0</v>
      </c>
      <c r="D5" s="19">
        <f ca="1">_xlfn.IFS(OR(D$16="",SUM($C$28:$C$31)&lt;$C27,SUM(D$28:D$31)&lt;$C28),"",AND(SUM($C$28:$C$30)=0,$C$31&gt;0),"0",SUM(D$28:D$30)=0,0,SUM(D$28:D$30)&lt;&gt;0,(D$28*1+D$29*0.5)/SUM($C$28:$C$30))</f>
        <v>0</v>
      </c>
      <c r="E5" s="19" t="str">
        <f t="shared" ref="E5:BP5" ca="1" si="4">_xlfn.IFS(OR(E$16="",SUM($C$28:$C$31)&lt;$C27,SUM(E$28:E$31)&lt;$C28),"",AND(SUM($C$28:$C$30)=0,$C$31&gt;0),"n/a",SUM(E$28:E$30)=0,0,SUM(E$28:E$30)&lt;&gt;0,(E$28*1+E$29*0.5)/SUM($C$28:$C$30))</f>
        <v/>
      </c>
      <c r="F5" s="19" t="str">
        <f t="shared" ca="1" si="4"/>
        <v/>
      </c>
      <c r="G5" s="19" t="str">
        <f t="shared" ca="1" si="4"/>
        <v/>
      </c>
      <c r="H5" s="19" t="str">
        <f t="shared" ca="1" si="4"/>
        <v/>
      </c>
      <c r="I5" s="19" t="str">
        <f t="shared" ca="1" si="4"/>
        <v/>
      </c>
      <c r="J5" s="19" t="str">
        <f t="shared" ca="1" si="4"/>
        <v/>
      </c>
      <c r="K5" s="19" t="str">
        <f t="shared" ca="1" si="4"/>
        <v/>
      </c>
      <c r="L5" s="19" t="str">
        <f t="shared" ca="1" si="4"/>
        <v/>
      </c>
      <c r="M5" s="19" t="str">
        <f t="shared" ca="1" si="4"/>
        <v/>
      </c>
      <c r="N5" s="19" t="str">
        <f t="shared" ca="1" si="4"/>
        <v/>
      </c>
      <c r="O5" s="19" t="str">
        <f t="shared" ca="1" si="4"/>
        <v/>
      </c>
      <c r="P5" s="19" t="str">
        <f t="shared" ca="1" si="4"/>
        <v/>
      </c>
      <c r="Q5" s="19" t="str">
        <f t="shared" ca="1" si="4"/>
        <v/>
      </c>
      <c r="R5" s="19" t="str">
        <f t="shared" ca="1" si="4"/>
        <v/>
      </c>
      <c r="S5" s="19" t="str">
        <f t="shared" ca="1" si="4"/>
        <v/>
      </c>
      <c r="T5" s="19" t="str">
        <f t="shared" ca="1" si="4"/>
        <v/>
      </c>
      <c r="U5" s="19" t="str">
        <f t="shared" ca="1" si="4"/>
        <v/>
      </c>
      <c r="V5" s="19" t="str">
        <f t="shared" ca="1" si="4"/>
        <v/>
      </c>
      <c r="W5" s="19" t="str">
        <f t="shared" ca="1" si="4"/>
        <v/>
      </c>
      <c r="X5" s="19" t="str">
        <f t="shared" ca="1" si="4"/>
        <v/>
      </c>
      <c r="Y5" s="19" t="str">
        <f t="shared" ca="1" si="4"/>
        <v/>
      </c>
      <c r="Z5" s="19" t="str">
        <f t="shared" ca="1" si="4"/>
        <v/>
      </c>
      <c r="AA5" s="19" t="str">
        <f t="shared" ca="1" si="4"/>
        <v/>
      </c>
      <c r="AB5" s="19" t="str">
        <f t="shared" ca="1" si="4"/>
        <v/>
      </c>
      <c r="AC5" s="19" t="str">
        <f t="shared" ca="1" si="4"/>
        <v/>
      </c>
      <c r="AD5" s="19" t="str">
        <f t="shared" ca="1" si="4"/>
        <v/>
      </c>
      <c r="AE5" s="19" t="str">
        <f t="shared" ca="1" si="4"/>
        <v/>
      </c>
      <c r="AF5" s="19" t="str">
        <f t="shared" ca="1" si="4"/>
        <v/>
      </c>
      <c r="AG5" s="19" t="str">
        <f t="shared" ca="1" si="4"/>
        <v/>
      </c>
      <c r="AH5" s="19" t="str">
        <f t="shared" ca="1" si="4"/>
        <v/>
      </c>
      <c r="AI5" s="19" t="str">
        <f t="shared" ca="1" si="4"/>
        <v/>
      </c>
      <c r="AJ5" s="19" t="str">
        <f t="shared" ca="1" si="4"/>
        <v/>
      </c>
      <c r="AK5" s="19" t="str">
        <f t="shared" ca="1" si="4"/>
        <v/>
      </c>
      <c r="AL5" s="19" t="str">
        <f t="shared" ca="1" si="4"/>
        <v/>
      </c>
      <c r="AM5" s="19" t="str">
        <f t="shared" ca="1" si="4"/>
        <v/>
      </c>
      <c r="AN5" s="19" t="str">
        <f t="shared" ca="1" si="4"/>
        <v/>
      </c>
      <c r="AO5" s="19" t="str">
        <f t="shared" ca="1" si="4"/>
        <v/>
      </c>
      <c r="AP5" s="19" t="str">
        <f t="shared" ca="1" si="4"/>
        <v/>
      </c>
      <c r="AQ5" s="19" t="str">
        <f t="shared" ca="1" si="4"/>
        <v/>
      </c>
      <c r="AR5" s="19" t="str">
        <f t="shared" ca="1" si="4"/>
        <v/>
      </c>
      <c r="AS5" s="19" t="str">
        <f t="shared" ca="1" si="4"/>
        <v/>
      </c>
      <c r="AT5" s="19" t="str">
        <f t="shared" ca="1" si="4"/>
        <v/>
      </c>
      <c r="AU5" s="19" t="str">
        <f t="shared" ca="1" si="4"/>
        <v/>
      </c>
      <c r="AV5" s="19" t="str">
        <f t="shared" ca="1" si="4"/>
        <v/>
      </c>
      <c r="AW5" s="19" t="str">
        <f t="shared" ca="1" si="4"/>
        <v/>
      </c>
      <c r="AX5" s="19" t="str">
        <f t="shared" ca="1" si="4"/>
        <v/>
      </c>
      <c r="AY5" s="19" t="str">
        <f t="shared" ca="1" si="4"/>
        <v/>
      </c>
      <c r="AZ5" s="19" t="str">
        <f t="shared" ca="1" si="4"/>
        <v/>
      </c>
      <c r="BA5" s="19" t="str">
        <f t="shared" ca="1" si="4"/>
        <v/>
      </c>
      <c r="BB5" s="19" t="str">
        <f t="shared" ca="1" si="4"/>
        <v/>
      </c>
      <c r="BC5" s="19" t="str">
        <f t="shared" ca="1" si="4"/>
        <v/>
      </c>
      <c r="BD5" s="19" t="str">
        <f t="shared" ca="1" si="4"/>
        <v/>
      </c>
      <c r="BE5" s="19" t="str">
        <f t="shared" ca="1" si="4"/>
        <v/>
      </c>
      <c r="BF5" s="19" t="str">
        <f t="shared" ca="1" si="4"/>
        <v/>
      </c>
      <c r="BG5" s="19" t="str">
        <f t="shared" ca="1" si="4"/>
        <v/>
      </c>
      <c r="BH5" s="19" t="str">
        <f t="shared" ca="1" si="4"/>
        <v/>
      </c>
      <c r="BI5" s="19" t="str">
        <f t="shared" ca="1" si="4"/>
        <v/>
      </c>
      <c r="BJ5" s="19" t="str">
        <f t="shared" ca="1" si="4"/>
        <v/>
      </c>
      <c r="BK5" s="19" t="str">
        <f t="shared" ca="1" si="4"/>
        <v/>
      </c>
      <c r="BL5" s="19" t="str">
        <f t="shared" ca="1" si="4"/>
        <v/>
      </c>
      <c r="BM5" s="19" t="str">
        <f t="shared" ca="1" si="4"/>
        <v/>
      </c>
      <c r="BN5" s="19" t="str">
        <f t="shared" ca="1" si="4"/>
        <v/>
      </c>
      <c r="BO5" s="19" t="str">
        <f t="shared" ca="1" si="4"/>
        <v/>
      </c>
      <c r="BP5" s="19" t="str">
        <f t="shared" ca="1" si="4"/>
        <v/>
      </c>
      <c r="BQ5" s="19" t="str">
        <f t="shared" ref="BQ5:CY5" ca="1" si="5">_xlfn.IFS(OR(BQ$16="",SUM($C$28:$C$31)&lt;$C27,SUM(BQ$28:BQ$31)&lt;$C28),"",AND(SUM($C$28:$C$30)=0,$C$31&gt;0),"n/a",SUM(BQ$28:BQ$30)=0,0,SUM(BQ$28:BQ$30)&lt;&gt;0,(BQ$28*1+BQ$29*0.5)/SUM($C$28:$C$30))</f>
        <v/>
      </c>
      <c r="BR5" s="19" t="str">
        <f t="shared" ca="1" si="5"/>
        <v/>
      </c>
      <c r="BS5" s="19" t="str">
        <f t="shared" ca="1" si="5"/>
        <v/>
      </c>
      <c r="BT5" s="19" t="str">
        <f t="shared" ca="1" si="5"/>
        <v/>
      </c>
      <c r="BU5" s="19" t="str">
        <f t="shared" ca="1" si="5"/>
        <v/>
      </c>
      <c r="BV5" s="19" t="str">
        <f t="shared" ca="1" si="5"/>
        <v/>
      </c>
      <c r="BW5" s="19" t="str">
        <f t="shared" ca="1" si="5"/>
        <v/>
      </c>
      <c r="BX5" s="19" t="str">
        <f t="shared" ca="1" si="5"/>
        <v/>
      </c>
      <c r="BY5" s="19" t="str">
        <f t="shared" ca="1" si="5"/>
        <v/>
      </c>
      <c r="BZ5" s="19" t="str">
        <f t="shared" ca="1" si="5"/>
        <v/>
      </c>
      <c r="CA5" s="19" t="str">
        <f t="shared" ca="1" si="5"/>
        <v/>
      </c>
      <c r="CB5" s="19" t="str">
        <f t="shared" ca="1" si="5"/>
        <v/>
      </c>
      <c r="CC5" s="19" t="str">
        <f t="shared" ca="1" si="5"/>
        <v/>
      </c>
      <c r="CD5" s="19" t="str">
        <f t="shared" ca="1" si="5"/>
        <v/>
      </c>
      <c r="CE5" s="19" t="str">
        <f t="shared" ca="1" si="5"/>
        <v/>
      </c>
      <c r="CF5" s="19" t="str">
        <f t="shared" ca="1" si="5"/>
        <v/>
      </c>
      <c r="CG5" s="19" t="str">
        <f t="shared" ca="1" si="5"/>
        <v/>
      </c>
      <c r="CH5" s="19" t="str">
        <f t="shared" ca="1" si="5"/>
        <v/>
      </c>
      <c r="CI5" s="19" t="str">
        <f t="shared" ca="1" si="5"/>
        <v/>
      </c>
      <c r="CJ5" s="19" t="str">
        <f t="shared" ca="1" si="5"/>
        <v/>
      </c>
      <c r="CK5" s="19" t="str">
        <f t="shared" ca="1" si="5"/>
        <v/>
      </c>
      <c r="CL5" s="19" t="str">
        <f t="shared" ca="1" si="5"/>
        <v/>
      </c>
      <c r="CM5" s="19" t="str">
        <f t="shared" ca="1" si="5"/>
        <v/>
      </c>
      <c r="CN5" s="19" t="str">
        <f t="shared" ca="1" si="5"/>
        <v/>
      </c>
      <c r="CO5" s="19" t="str">
        <f t="shared" ca="1" si="5"/>
        <v/>
      </c>
      <c r="CP5" s="19" t="str">
        <f t="shared" ca="1" si="5"/>
        <v/>
      </c>
      <c r="CQ5" s="19" t="str">
        <f t="shared" ca="1" si="5"/>
        <v/>
      </c>
      <c r="CR5" s="19" t="str">
        <f t="shared" ca="1" si="5"/>
        <v/>
      </c>
      <c r="CS5" s="19" t="str">
        <f t="shared" ca="1" si="5"/>
        <v/>
      </c>
      <c r="CT5" s="19" t="str">
        <f t="shared" ca="1" si="5"/>
        <v/>
      </c>
      <c r="CU5" s="19" t="str">
        <f t="shared" ca="1" si="5"/>
        <v/>
      </c>
      <c r="CV5" s="19" t="str">
        <f t="shared" ca="1" si="5"/>
        <v/>
      </c>
      <c r="CW5" s="19" t="str">
        <f t="shared" ca="1" si="5"/>
        <v/>
      </c>
      <c r="CX5" s="19" t="str">
        <f t="shared" ca="1" si="5"/>
        <v/>
      </c>
      <c r="CY5" s="19" t="str">
        <f t="shared" ca="1" si="5"/>
        <v/>
      </c>
    </row>
    <row r="6" spans="1:111" s="20" customFormat="1" ht="23.25" customHeight="1">
      <c r="A6" s="21" t="s">
        <v>299</v>
      </c>
      <c r="B6" s="86"/>
      <c r="C6" s="19">
        <v>0.8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</row>
    <row r="7" spans="1:111" s="20" customFormat="1" ht="23.25" customHeight="1">
      <c r="A7" s="21" t="s">
        <v>300</v>
      </c>
      <c r="B7" s="88"/>
      <c r="C7" s="87">
        <f ca="1">IF(OR($C$16="",SUM(C33:C36)&lt;32),"",IF(SUM(C$33:C$35)&lt;&gt;0,(C$33*1+C$34*0.5)/SUM(C$33:C$35),0))</f>
        <v>0</v>
      </c>
      <c r="D7" s="19">
        <f ca="1">_xlfn.IFS(OR(D$16="",SUM($C$33:$C$36)&lt;$C32,SUM(D$33:D$36)&lt;$C33),"",AND(SUM($C$33:$C$35)=0,$C$36&gt;0),"0",SUM(D$33:D$35)=0,0,SUM(D$33:D$35)&lt;&gt;0,(D$33*1+D$34*0.5)/SUM($C$33:$C$35))</f>
        <v>0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</row>
    <row r="8" spans="1:111" s="20" customFormat="1" ht="23.25" customHeight="1">
      <c r="A8" s="48" t="s">
        <v>11</v>
      </c>
      <c r="B8" s="49"/>
      <c r="C8" s="50"/>
      <c r="D8" s="50" t="str">
        <f ca="1">IFERROR(IF(AVERAGE(D3:D7)=0,"",AVERAGE(D3:D7)),"")</f>
        <v/>
      </c>
      <c r="E8" s="50" t="str">
        <f ca="1">IFERROR(IF(AVERAGE(E3:E7)=0,"",AVERAGE(E3:E7)),"")</f>
        <v/>
      </c>
      <c r="F8" s="50" t="str">
        <f t="shared" ref="F8:BQ8" ca="1" si="6">IFERROR(IF(AVERAGE(F3:F7)=0,"",AVERAGE(F3:F7)),"")</f>
        <v/>
      </c>
      <c r="G8" s="50" t="str">
        <f t="shared" ca="1" si="6"/>
        <v/>
      </c>
      <c r="H8" s="50" t="str">
        <f t="shared" ca="1" si="6"/>
        <v/>
      </c>
      <c r="I8" s="50" t="str">
        <f t="shared" ca="1" si="6"/>
        <v/>
      </c>
      <c r="J8" s="50" t="str">
        <f t="shared" ca="1" si="6"/>
        <v/>
      </c>
      <c r="K8" s="50" t="str">
        <f t="shared" ca="1" si="6"/>
        <v/>
      </c>
      <c r="L8" s="50" t="str">
        <f t="shared" ca="1" si="6"/>
        <v/>
      </c>
      <c r="M8" s="50" t="str">
        <f t="shared" ca="1" si="6"/>
        <v/>
      </c>
      <c r="N8" s="50" t="str">
        <f t="shared" ca="1" si="6"/>
        <v/>
      </c>
      <c r="O8" s="50" t="str">
        <f t="shared" ca="1" si="6"/>
        <v/>
      </c>
      <c r="P8" s="50" t="str">
        <f t="shared" ca="1" si="6"/>
        <v/>
      </c>
      <c r="Q8" s="50" t="str">
        <f t="shared" ca="1" si="6"/>
        <v/>
      </c>
      <c r="R8" s="50" t="str">
        <f t="shared" ca="1" si="6"/>
        <v/>
      </c>
      <c r="S8" s="50" t="str">
        <f t="shared" ca="1" si="6"/>
        <v/>
      </c>
      <c r="T8" s="50" t="str">
        <f t="shared" ca="1" si="6"/>
        <v/>
      </c>
      <c r="U8" s="50" t="str">
        <f t="shared" ca="1" si="6"/>
        <v/>
      </c>
      <c r="V8" s="50" t="str">
        <f t="shared" ca="1" si="6"/>
        <v/>
      </c>
      <c r="W8" s="50" t="str">
        <f t="shared" ca="1" si="6"/>
        <v/>
      </c>
      <c r="X8" s="50" t="str">
        <f t="shared" ca="1" si="6"/>
        <v/>
      </c>
      <c r="Y8" s="50" t="str">
        <f t="shared" ca="1" si="6"/>
        <v/>
      </c>
      <c r="Z8" s="50" t="str">
        <f t="shared" ca="1" si="6"/>
        <v/>
      </c>
      <c r="AA8" s="50" t="str">
        <f t="shared" ca="1" si="6"/>
        <v/>
      </c>
      <c r="AB8" s="50" t="str">
        <f t="shared" ca="1" si="6"/>
        <v/>
      </c>
      <c r="AC8" s="50" t="str">
        <f t="shared" ca="1" si="6"/>
        <v/>
      </c>
      <c r="AD8" s="50" t="str">
        <f t="shared" ca="1" si="6"/>
        <v/>
      </c>
      <c r="AE8" s="50" t="str">
        <f t="shared" ca="1" si="6"/>
        <v/>
      </c>
      <c r="AF8" s="50" t="str">
        <f t="shared" ca="1" si="6"/>
        <v/>
      </c>
      <c r="AG8" s="50" t="str">
        <f t="shared" ca="1" si="6"/>
        <v/>
      </c>
      <c r="AH8" s="50" t="str">
        <f t="shared" ca="1" si="6"/>
        <v/>
      </c>
      <c r="AI8" s="50" t="str">
        <f t="shared" ca="1" si="6"/>
        <v/>
      </c>
      <c r="AJ8" s="50" t="str">
        <f t="shared" ca="1" si="6"/>
        <v/>
      </c>
      <c r="AK8" s="50" t="str">
        <f t="shared" ca="1" si="6"/>
        <v/>
      </c>
      <c r="AL8" s="50" t="str">
        <f t="shared" ca="1" si="6"/>
        <v/>
      </c>
      <c r="AM8" s="50" t="str">
        <f t="shared" ca="1" si="6"/>
        <v/>
      </c>
      <c r="AN8" s="50" t="str">
        <f t="shared" ca="1" si="6"/>
        <v/>
      </c>
      <c r="AO8" s="50" t="str">
        <f t="shared" ca="1" si="6"/>
        <v/>
      </c>
      <c r="AP8" s="50" t="str">
        <f t="shared" ca="1" si="6"/>
        <v/>
      </c>
      <c r="AQ8" s="50" t="str">
        <f t="shared" ca="1" si="6"/>
        <v/>
      </c>
      <c r="AR8" s="50" t="str">
        <f t="shared" ca="1" si="6"/>
        <v/>
      </c>
      <c r="AS8" s="50" t="str">
        <f t="shared" ca="1" si="6"/>
        <v/>
      </c>
      <c r="AT8" s="50" t="str">
        <f t="shared" ca="1" si="6"/>
        <v/>
      </c>
      <c r="AU8" s="50" t="str">
        <f t="shared" ca="1" si="6"/>
        <v/>
      </c>
      <c r="AV8" s="50" t="str">
        <f t="shared" ca="1" si="6"/>
        <v/>
      </c>
      <c r="AW8" s="50" t="str">
        <f t="shared" ca="1" si="6"/>
        <v/>
      </c>
      <c r="AX8" s="50" t="str">
        <f t="shared" ca="1" si="6"/>
        <v/>
      </c>
      <c r="AY8" s="50" t="str">
        <f t="shared" ca="1" si="6"/>
        <v/>
      </c>
      <c r="AZ8" s="50" t="str">
        <f t="shared" ca="1" si="6"/>
        <v/>
      </c>
      <c r="BA8" s="50" t="str">
        <f t="shared" ca="1" si="6"/>
        <v/>
      </c>
      <c r="BB8" s="50" t="str">
        <f t="shared" ca="1" si="6"/>
        <v/>
      </c>
      <c r="BC8" s="50" t="str">
        <f t="shared" ca="1" si="6"/>
        <v/>
      </c>
      <c r="BD8" s="50" t="str">
        <f t="shared" ca="1" si="6"/>
        <v/>
      </c>
      <c r="BE8" s="50" t="str">
        <f t="shared" ca="1" si="6"/>
        <v/>
      </c>
      <c r="BF8" s="50" t="str">
        <f t="shared" ca="1" si="6"/>
        <v/>
      </c>
      <c r="BG8" s="50" t="str">
        <f t="shared" ca="1" si="6"/>
        <v/>
      </c>
      <c r="BH8" s="50" t="str">
        <f t="shared" ca="1" si="6"/>
        <v/>
      </c>
      <c r="BI8" s="50" t="str">
        <f t="shared" ca="1" si="6"/>
        <v/>
      </c>
      <c r="BJ8" s="50" t="str">
        <f t="shared" ca="1" si="6"/>
        <v/>
      </c>
      <c r="BK8" s="50" t="str">
        <f t="shared" ca="1" si="6"/>
        <v/>
      </c>
      <c r="BL8" s="50" t="str">
        <f t="shared" ca="1" si="6"/>
        <v/>
      </c>
      <c r="BM8" s="50" t="str">
        <f t="shared" ca="1" si="6"/>
        <v/>
      </c>
      <c r="BN8" s="50" t="str">
        <f t="shared" ca="1" si="6"/>
        <v/>
      </c>
      <c r="BO8" s="50" t="str">
        <f t="shared" ca="1" si="6"/>
        <v/>
      </c>
      <c r="BP8" s="50" t="str">
        <f t="shared" ca="1" si="6"/>
        <v/>
      </c>
      <c r="BQ8" s="50" t="str">
        <f t="shared" ca="1" si="6"/>
        <v/>
      </c>
      <c r="BR8" s="50" t="str">
        <f t="shared" ref="BR8:CY8" ca="1" si="7">IFERROR(IF(AVERAGE(BR3:BR7)=0,"",AVERAGE(BR3:BR7)),"")</f>
        <v/>
      </c>
      <c r="BS8" s="50" t="str">
        <f t="shared" ca="1" si="7"/>
        <v/>
      </c>
      <c r="BT8" s="50" t="str">
        <f t="shared" ca="1" si="7"/>
        <v/>
      </c>
      <c r="BU8" s="50" t="str">
        <f t="shared" ca="1" si="7"/>
        <v/>
      </c>
      <c r="BV8" s="50" t="str">
        <f t="shared" ca="1" si="7"/>
        <v/>
      </c>
      <c r="BW8" s="50" t="str">
        <f t="shared" ca="1" si="7"/>
        <v/>
      </c>
      <c r="BX8" s="50" t="str">
        <f t="shared" ca="1" si="7"/>
        <v/>
      </c>
      <c r="BY8" s="50" t="str">
        <f t="shared" ca="1" si="7"/>
        <v/>
      </c>
      <c r="BZ8" s="50" t="str">
        <f t="shared" ca="1" si="7"/>
        <v/>
      </c>
      <c r="CA8" s="50" t="str">
        <f t="shared" ca="1" si="7"/>
        <v/>
      </c>
      <c r="CB8" s="50" t="str">
        <f t="shared" ca="1" si="7"/>
        <v/>
      </c>
      <c r="CC8" s="50" t="str">
        <f t="shared" ca="1" si="7"/>
        <v/>
      </c>
      <c r="CD8" s="50" t="str">
        <f t="shared" ca="1" si="7"/>
        <v/>
      </c>
      <c r="CE8" s="50" t="str">
        <f t="shared" ca="1" si="7"/>
        <v/>
      </c>
      <c r="CF8" s="50" t="str">
        <f t="shared" ca="1" si="7"/>
        <v/>
      </c>
      <c r="CG8" s="50" t="str">
        <f t="shared" ca="1" si="7"/>
        <v/>
      </c>
      <c r="CH8" s="50" t="str">
        <f t="shared" ca="1" si="7"/>
        <v/>
      </c>
      <c r="CI8" s="50" t="str">
        <f t="shared" ca="1" si="7"/>
        <v/>
      </c>
      <c r="CJ8" s="50" t="str">
        <f t="shared" ca="1" si="7"/>
        <v/>
      </c>
      <c r="CK8" s="50" t="str">
        <f t="shared" ca="1" si="7"/>
        <v/>
      </c>
      <c r="CL8" s="50" t="str">
        <f t="shared" ca="1" si="7"/>
        <v/>
      </c>
      <c r="CM8" s="50" t="str">
        <f t="shared" ca="1" si="7"/>
        <v/>
      </c>
      <c r="CN8" s="50" t="str">
        <f t="shared" ca="1" si="7"/>
        <v/>
      </c>
      <c r="CO8" s="50" t="str">
        <f t="shared" ca="1" si="7"/>
        <v/>
      </c>
      <c r="CP8" s="50" t="str">
        <f t="shared" ca="1" si="7"/>
        <v/>
      </c>
      <c r="CQ8" s="50" t="str">
        <f t="shared" ca="1" si="7"/>
        <v/>
      </c>
      <c r="CR8" s="50" t="str">
        <f t="shared" ca="1" si="7"/>
        <v/>
      </c>
      <c r="CS8" s="50" t="str">
        <f t="shared" ca="1" si="7"/>
        <v/>
      </c>
      <c r="CT8" s="50" t="str">
        <f t="shared" ca="1" si="7"/>
        <v/>
      </c>
      <c r="CU8" s="50" t="str">
        <f t="shared" ca="1" si="7"/>
        <v/>
      </c>
      <c r="CV8" s="50" t="str">
        <f t="shared" ca="1" si="7"/>
        <v/>
      </c>
      <c r="CW8" s="50" t="str">
        <f t="shared" ca="1" si="7"/>
        <v/>
      </c>
      <c r="CX8" s="50" t="str">
        <f t="shared" ca="1" si="7"/>
        <v/>
      </c>
      <c r="CY8" s="50" t="str">
        <f t="shared" ca="1" si="7"/>
        <v/>
      </c>
    </row>
    <row r="9" spans="1:111">
      <c r="C9" s="10"/>
      <c r="D9" s="10"/>
    </row>
    <row r="10" spans="1:111">
      <c r="A10" s="41" t="s">
        <v>342</v>
      </c>
      <c r="C10" s="10"/>
      <c r="D10" s="10"/>
    </row>
    <row r="11" spans="1:111" ht="15.75">
      <c r="C11" s="10"/>
      <c r="D11" s="43"/>
      <c r="E11" s="27"/>
    </row>
    <row r="12" spans="1:111" ht="18">
      <c r="A12" s="23" t="s">
        <v>17</v>
      </c>
      <c r="B12" s="4"/>
      <c r="C12" s="4"/>
      <c r="D12" s="44"/>
    </row>
    <row r="13" spans="1:111" ht="42.75" customHeight="1">
      <c r="A13" s="9" t="s">
        <v>24</v>
      </c>
    </row>
    <row r="14" spans="1:111" outlineLevel="1"/>
    <row r="15" spans="1:111" outlineLevel="1">
      <c r="A15" s="22" t="s">
        <v>23</v>
      </c>
      <c r="B15" s="5"/>
      <c r="C15" s="5"/>
    </row>
    <row r="16" spans="1:111" s="14" customFormat="1" ht="34.5" customHeight="1" outlineLevel="1">
      <c r="A16" s="13" t="s">
        <v>0</v>
      </c>
      <c r="B16" s="13" t="s">
        <v>3</v>
      </c>
      <c r="C16" s="13" t="str">
        <f>C2</f>
        <v>PLAN Stand</v>
      </c>
      <c r="D16" s="13" t="str">
        <f ca="1">_xlfn.IFS(D$2="","",ISERROR(INDIRECT("'"&amp;D$2&amp;"'!$B$1")),INDIRECT("'"&amp;D$2&amp;"'!$B$1"),D$2&lt;&gt;"",D$2)</f>
        <v>IST Stand &lt;Datum&gt;</v>
      </c>
      <c r="E16" s="13" t="str">
        <f t="shared" ref="E16:BO16" ca="1" si="8">_xlfn.IFS(E$2="","",ISERROR(INDIRECT("'"&amp;E$2&amp;"'!$B$1")),INDIRECT("'"&amp;E$2&amp;"'!$B$1"),E$2&lt;&gt;"",E$2)</f>
        <v/>
      </c>
      <c r="F16" s="13" t="str">
        <f t="shared" ca="1" si="8"/>
        <v/>
      </c>
      <c r="G16" s="13" t="str">
        <f t="shared" ca="1" si="8"/>
        <v/>
      </c>
      <c r="H16" s="13" t="str">
        <f t="shared" ca="1" si="8"/>
        <v/>
      </c>
      <c r="I16" s="13" t="str">
        <f t="shared" ca="1" si="8"/>
        <v/>
      </c>
      <c r="J16" s="13" t="str">
        <f t="shared" ca="1" si="8"/>
        <v/>
      </c>
      <c r="K16" s="13" t="str">
        <f t="shared" ca="1" si="8"/>
        <v/>
      </c>
      <c r="L16" s="13" t="str">
        <f t="shared" ca="1" si="8"/>
        <v/>
      </c>
      <c r="M16" s="13" t="str">
        <f t="shared" ca="1" si="8"/>
        <v/>
      </c>
      <c r="N16" s="13" t="str">
        <f t="shared" ca="1" si="8"/>
        <v/>
      </c>
      <c r="O16" s="13" t="str">
        <f t="shared" ca="1" si="8"/>
        <v/>
      </c>
      <c r="P16" s="13" t="str">
        <f t="shared" ca="1" si="8"/>
        <v/>
      </c>
      <c r="Q16" s="13" t="str">
        <f t="shared" ca="1" si="8"/>
        <v/>
      </c>
      <c r="R16" s="13" t="str">
        <f t="shared" ca="1" si="8"/>
        <v/>
      </c>
      <c r="S16" s="13" t="str">
        <f t="shared" ca="1" si="8"/>
        <v/>
      </c>
      <c r="T16" s="13" t="str">
        <f t="shared" ca="1" si="8"/>
        <v/>
      </c>
      <c r="U16" s="13" t="str">
        <f t="shared" ca="1" si="8"/>
        <v/>
      </c>
      <c r="V16" s="13" t="str">
        <f t="shared" ca="1" si="8"/>
        <v/>
      </c>
      <c r="W16" s="13" t="str">
        <f t="shared" ca="1" si="8"/>
        <v/>
      </c>
      <c r="X16" s="13" t="str">
        <f t="shared" ca="1" si="8"/>
        <v/>
      </c>
      <c r="Y16" s="13" t="str">
        <f t="shared" ca="1" si="8"/>
        <v/>
      </c>
      <c r="Z16" s="13" t="str">
        <f t="shared" ca="1" si="8"/>
        <v/>
      </c>
      <c r="AA16" s="13" t="str">
        <f t="shared" ca="1" si="8"/>
        <v/>
      </c>
      <c r="AB16" s="13" t="str">
        <f t="shared" ca="1" si="8"/>
        <v/>
      </c>
      <c r="AC16" s="13" t="str">
        <f t="shared" ca="1" si="8"/>
        <v/>
      </c>
      <c r="AD16" s="13" t="str">
        <f t="shared" ca="1" si="8"/>
        <v/>
      </c>
      <c r="AE16" s="13" t="str">
        <f t="shared" ca="1" si="8"/>
        <v/>
      </c>
      <c r="AF16" s="13" t="str">
        <f t="shared" ca="1" si="8"/>
        <v/>
      </c>
      <c r="AG16" s="13" t="str">
        <f t="shared" ca="1" si="8"/>
        <v/>
      </c>
      <c r="AH16" s="13" t="str">
        <f t="shared" ca="1" si="8"/>
        <v/>
      </c>
      <c r="AI16" s="13" t="str">
        <f t="shared" ca="1" si="8"/>
        <v/>
      </c>
      <c r="AJ16" s="13" t="str">
        <f t="shared" ca="1" si="8"/>
        <v/>
      </c>
      <c r="AK16" s="13" t="str">
        <f t="shared" ca="1" si="8"/>
        <v/>
      </c>
      <c r="AL16" s="13" t="str">
        <f t="shared" ca="1" si="8"/>
        <v/>
      </c>
      <c r="AM16" s="13" t="str">
        <f t="shared" ca="1" si="8"/>
        <v/>
      </c>
      <c r="AN16" s="13" t="str">
        <f t="shared" ca="1" si="8"/>
        <v/>
      </c>
      <c r="AO16" s="13" t="str">
        <f t="shared" ca="1" si="8"/>
        <v/>
      </c>
      <c r="AP16" s="13" t="str">
        <f t="shared" ca="1" si="8"/>
        <v/>
      </c>
      <c r="AQ16" s="13" t="str">
        <f t="shared" ca="1" si="8"/>
        <v/>
      </c>
      <c r="AR16" s="13" t="str">
        <f t="shared" ca="1" si="8"/>
        <v/>
      </c>
      <c r="AS16" s="13" t="str">
        <f t="shared" ca="1" si="8"/>
        <v/>
      </c>
      <c r="AT16" s="13" t="str">
        <f t="shared" ca="1" si="8"/>
        <v/>
      </c>
      <c r="AU16" s="13" t="str">
        <f t="shared" ca="1" si="8"/>
        <v/>
      </c>
      <c r="AV16" s="13" t="str">
        <f t="shared" ca="1" si="8"/>
        <v/>
      </c>
      <c r="AW16" s="13" t="str">
        <f t="shared" ca="1" si="8"/>
        <v/>
      </c>
      <c r="AX16" s="13" t="str">
        <f t="shared" ca="1" si="8"/>
        <v/>
      </c>
      <c r="AY16" s="13" t="str">
        <f t="shared" ca="1" si="8"/>
        <v/>
      </c>
      <c r="AZ16" s="13" t="str">
        <f t="shared" ca="1" si="8"/>
        <v/>
      </c>
      <c r="BA16" s="13" t="str">
        <f t="shared" ca="1" si="8"/>
        <v/>
      </c>
      <c r="BB16" s="13" t="str">
        <f t="shared" ca="1" si="8"/>
        <v/>
      </c>
      <c r="BC16" s="13" t="str">
        <f t="shared" ca="1" si="8"/>
        <v/>
      </c>
      <c r="BD16" s="13" t="str">
        <f t="shared" ca="1" si="8"/>
        <v/>
      </c>
      <c r="BE16" s="13" t="str">
        <f t="shared" ca="1" si="8"/>
        <v/>
      </c>
      <c r="BF16" s="13" t="str">
        <f t="shared" ca="1" si="8"/>
        <v/>
      </c>
      <c r="BG16" s="13" t="str">
        <f t="shared" ca="1" si="8"/>
        <v/>
      </c>
      <c r="BH16" s="13" t="str">
        <f t="shared" ca="1" si="8"/>
        <v/>
      </c>
      <c r="BI16" s="13" t="str">
        <f t="shared" ca="1" si="8"/>
        <v/>
      </c>
      <c r="BJ16" s="13" t="str">
        <f t="shared" ca="1" si="8"/>
        <v/>
      </c>
      <c r="BK16" s="13" t="str">
        <f t="shared" ca="1" si="8"/>
        <v/>
      </c>
      <c r="BL16" s="13" t="str">
        <f t="shared" ca="1" si="8"/>
        <v/>
      </c>
      <c r="BM16" s="13" t="str">
        <f t="shared" ca="1" si="8"/>
        <v/>
      </c>
      <c r="BN16" s="13" t="str">
        <f t="shared" ca="1" si="8"/>
        <v/>
      </c>
      <c r="BO16" s="13" t="str">
        <f t="shared" ca="1" si="8"/>
        <v/>
      </c>
      <c r="BP16" s="13" t="str">
        <f t="shared" ref="BP16:CY16" ca="1" si="9">_xlfn.IFS(BP$2="","",ISERROR(INDIRECT("'"&amp;BP$2&amp;"'!$B$1")),INDIRECT("'"&amp;BP$2&amp;"'!$B$1"),BP$2&lt;&gt;"",BP$2)</f>
        <v/>
      </c>
      <c r="BQ16" s="13" t="str">
        <f t="shared" ca="1" si="9"/>
        <v/>
      </c>
      <c r="BR16" s="13" t="str">
        <f t="shared" ca="1" si="9"/>
        <v/>
      </c>
      <c r="BS16" s="13" t="str">
        <f t="shared" ca="1" si="9"/>
        <v/>
      </c>
      <c r="BT16" s="13" t="str">
        <f t="shared" ca="1" si="9"/>
        <v/>
      </c>
      <c r="BU16" s="13" t="str">
        <f t="shared" ca="1" si="9"/>
        <v/>
      </c>
      <c r="BV16" s="13" t="str">
        <f t="shared" ca="1" si="9"/>
        <v/>
      </c>
      <c r="BW16" s="13" t="str">
        <f t="shared" ca="1" si="9"/>
        <v/>
      </c>
      <c r="BX16" s="13" t="str">
        <f t="shared" ca="1" si="9"/>
        <v/>
      </c>
      <c r="BY16" s="13" t="str">
        <f t="shared" ca="1" si="9"/>
        <v/>
      </c>
      <c r="BZ16" s="13" t="str">
        <f t="shared" ca="1" si="9"/>
        <v/>
      </c>
      <c r="CA16" s="13" t="str">
        <f t="shared" ca="1" si="9"/>
        <v/>
      </c>
      <c r="CB16" s="13" t="str">
        <f t="shared" ca="1" si="9"/>
        <v/>
      </c>
      <c r="CC16" s="13" t="str">
        <f t="shared" ca="1" si="9"/>
        <v/>
      </c>
      <c r="CD16" s="13" t="str">
        <f t="shared" ca="1" si="9"/>
        <v/>
      </c>
      <c r="CE16" s="13" t="str">
        <f t="shared" ca="1" si="9"/>
        <v/>
      </c>
      <c r="CF16" s="13" t="str">
        <f t="shared" ca="1" si="9"/>
        <v/>
      </c>
      <c r="CG16" s="13" t="str">
        <f t="shared" ca="1" si="9"/>
        <v/>
      </c>
      <c r="CH16" s="13" t="str">
        <f t="shared" ca="1" si="9"/>
        <v/>
      </c>
      <c r="CI16" s="13" t="str">
        <f t="shared" ca="1" si="9"/>
        <v/>
      </c>
      <c r="CJ16" s="13" t="str">
        <f t="shared" ca="1" si="9"/>
        <v/>
      </c>
      <c r="CK16" s="13" t="str">
        <f t="shared" ca="1" si="9"/>
        <v/>
      </c>
      <c r="CL16" s="13" t="str">
        <f t="shared" ca="1" si="9"/>
        <v/>
      </c>
      <c r="CM16" s="13" t="str">
        <f t="shared" ca="1" si="9"/>
        <v/>
      </c>
      <c r="CN16" s="13" t="str">
        <f t="shared" ca="1" si="9"/>
        <v/>
      </c>
      <c r="CO16" s="13" t="str">
        <f t="shared" ca="1" si="9"/>
        <v/>
      </c>
      <c r="CP16" s="13" t="str">
        <f t="shared" ca="1" si="9"/>
        <v/>
      </c>
      <c r="CQ16" s="13" t="str">
        <f t="shared" ca="1" si="9"/>
        <v/>
      </c>
      <c r="CR16" s="13" t="str">
        <f t="shared" ca="1" si="9"/>
        <v/>
      </c>
      <c r="CS16" s="13" t="str">
        <f t="shared" ca="1" si="9"/>
        <v/>
      </c>
      <c r="CT16" s="13" t="str">
        <f t="shared" ca="1" si="9"/>
        <v/>
      </c>
      <c r="CU16" s="13" t="str">
        <f t="shared" ca="1" si="9"/>
        <v/>
      </c>
      <c r="CV16" s="13" t="str">
        <f t="shared" ca="1" si="9"/>
        <v/>
      </c>
      <c r="CW16" s="13" t="str">
        <f t="shared" ca="1" si="9"/>
        <v/>
      </c>
      <c r="CX16" s="13" t="str">
        <f t="shared" ca="1" si="9"/>
        <v/>
      </c>
      <c r="CY16" s="13" t="str">
        <f t="shared" ca="1" si="9"/>
        <v/>
      </c>
    </row>
    <row r="17" spans="1:103" s="9" customFormat="1" outlineLevel="1">
      <c r="A17" s="7" t="s">
        <v>8</v>
      </c>
      <c r="B17" s="7" t="s">
        <v>40</v>
      </c>
      <c r="C17" s="17">
        <f ca="1">COUNTIFS(INDIRECT("'"&amp;C$16&amp;"'!$A$2:$A$1000"),$A17)</f>
        <v>127</v>
      </c>
      <c r="D17" s="17">
        <f ca="1">IF(D$16&lt;&gt;"",COUNTIFS(INDIRECT("'"&amp;D$16&amp;"'!$A$2:$A$1000"),$A17),"")</f>
        <v>127</v>
      </c>
      <c r="E17" s="17" t="str">
        <f t="shared" ref="E17:BP17" ca="1" si="10">IF(E$16&lt;&gt;"",COUNTIFS(INDIRECT("'"&amp;E$16&amp;"'!$A$2:$A$1000"),$A17),"")</f>
        <v/>
      </c>
      <c r="F17" s="17" t="str">
        <f t="shared" ca="1" si="10"/>
        <v/>
      </c>
      <c r="G17" s="17" t="str">
        <f t="shared" ca="1" si="10"/>
        <v/>
      </c>
      <c r="H17" s="17" t="str">
        <f t="shared" ca="1" si="10"/>
        <v/>
      </c>
      <c r="I17" s="17" t="str">
        <f t="shared" ca="1" si="10"/>
        <v/>
      </c>
      <c r="J17" s="17" t="str">
        <f t="shared" ca="1" si="10"/>
        <v/>
      </c>
      <c r="K17" s="17" t="str">
        <f t="shared" ca="1" si="10"/>
        <v/>
      </c>
      <c r="L17" s="17" t="str">
        <f t="shared" ca="1" si="10"/>
        <v/>
      </c>
      <c r="M17" s="17" t="str">
        <f t="shared" ca="1" si="10"/>
        <v/>
      </c>
      <c r="N17" s="17" t="str">
        <f t="shared" ca="1" si="10"/>
        <v/>
      </c>
      <c r="O17" s="17" t="str">
        <f t="shared" ca="1" si="10"/>
        <v/>
      </c>
      <c r="P17" s="17" t="str">
        <f t="shared" ca="1" si="10"/>
        <v/>
      </c>
      <c r="Q17" s="17" t="str">
        <f t="shared" ca="1" si="10"/>
        <v/>
      </c>
      <c r="R17" s="17" t="str">
        <f t="shared" ca="1" si="10"/>
        <v/>
      </c>
      <c r="S17" s="17" t="str">
        <f t="shared" ca="1" si="10"/>
        <v/>
      </c>
      <c r="T17" s="17" t="str">
        <f t="shared" ca="1" si="10"/>
        <v/>
      </c>
      <c r="U17" s="17" t="str">
        <f t="shared" ca="1" si="10"/>
        <v/>
      </c>
      <c r="V17" s="17" t="str">
        <f t="shared" ca="1" si="10"/>
        <v/>
      </c>
      <c r="W17" s="17" t="str">
        <f t="shared" ca="1" si="10"/>
        <v/>
      </c>
      <c r="X17" s="17" t="str">
        <f t="shared" ca="1" si="10"/>
        <v/>
      </c>
      <c r="Y17" s="17" t="str">
        <f t="shared" ca="1" si="10"/>
        <v/>
      </c>
      <c r="Z17" s="17" t="str">
        <f t="shared" ca="1" si="10"/>
        <v/>
      </c>
      <c r="AA17" s="17" t="str">
        <f t="shared" ca="1" si="10"/>
        <v/>
      </c>
      <c r="AB17" s="17" t="str">
        <f t="shared" ca="1" si="10"/>
        <v/>
      </c>
      <c r="AC17" s="17" t="str">
        <f t="shared" ca="1" si="10"/>
        <v/>
      </c>
      <c r="AD17" s="17" t="str">
        <f t="shared" ca="1" si="10"/>
        <v/>
      </c>
      <c r="AE17" s="17" t="str">
        <f t="shared" ca="1" si="10"/>
        <v/>
      </c>
      <c r="AF17" s="17" t="str">
        <f t="shared" ca="1" si="10"/>
        <v/>
      </c>
      <c r="AG17" s="17" t="str">
        <f t="shared" ca="1" si="10"/>
        <v/>
      </c>
      <c r="AH17" s="17" t="str">
        <f t="shared" ca="1" si="10"/>
        <v/>
      </c>
      <c r="AI17" s="17" t="str">
        <f t="shared" ca="1" si="10"/>
        <v/>
      </c>
      <c r="AJ17" s="17" t="str">
        <f t="shared" ca="1" si="10"/>
        <v/>
      </c>
      <c r="AK17" s="17" t="str">
        <f t="shared" ca="1" si="10"/>
        <v/>
      </c>
      <c r="AL17" s="17" t="str">
        <f t="shared" ca="1" si="10"/>
        <v/>
      </c>
      <c r="AM17" s="17" t="str">
        <f t="shared" ca="1" si="10"/>
        <v/>
      </c>
      <c r="AN17" s="17" t="str">
        <f t="shared" ca="1" si="10"/>
        <v/>
      </c>
      <c r="AO17" s="17" t="str">
        <f t="shared" ca="1" si="10"/>
        <v/>
      </c>
      <c r="AP17" s="17" t="str">
        <f t="shared" ca="1" si="10"/>
        <v/>
      </c>
      <c r="AQ17" s="17" t="str">
        <f t="shared" ca="1" si="10"/>
        <v/>
      </c>
      <c r="AR17" s="17" t="str">
        <f t="shared" ca="1" si="10"/>
        <v/>
      </c>
      <c r="AS17" s="17" t="str">
        <f t="shared" ca="1" si="10"/>
        <v/>
      </c>
      <c r="AT17" s="17" t="str">
        <f t="shared" ca="1" si="10"/>
        <v/>
      </c>
      <c r="AU17" s="17" t="str">
        <f t="shared" ca="1" si="10"/>
        <v/>
      </c>
      <c r="AV17" s="17" t="str">
        <f t="shared" ca="1" si="10"/>
        <v/>
      </c>
      <c r="AW17" s="17" t="str">
        <f t="shared" ca="1" si="10"/>
        <v/>
      </c>
      <c r="AX17" s="17" t="str">
        <f t="shared" ca="1" si="10"/>
        <v/>
      </c>
      <c r="AY17" s="17" t="str">
        <f t="shared" ca="1" si="10"/>
        <v/>
      </c>
      <c r="AZ17" s="17" t="str">
        <f t="shared" ca="1" si="10"/>
        <v/>
      </c>
      <c r="BA17" s="17" t="str">
        <f t="shared" ca="1" si="10"/>
        <v/>
      </c>
      <c r="BB17" s="17" t="str">
        <f t="shared" ca="1" si="10"/>
        <v/>
      </c>
      <c r="BC17" s="17" t="str">
        <f t="shared" ca="1" si="10"/>
        <v/>
      </c>
      <c r="BD17" s="17" t="str">
        <f t="shared" ca="1" si="10"/>
        <v/>
      </c>
      <c r="BE17" s="17" t="str">
        <f t="shared" ca="1" si="10"/>
        <v/>
      </c>
      <c r="BF17" s="17" t="str">
        <f t="shared" ca="1" si="10"/>
        <v/>
      </c>
      <c r="BG17" s="17" t="str">
        <f t="shared" ca="1" si="10"/>
        <v/>
      </c>
      <c r="BH17" s="17" t="str">
        <f t="shared" ca="1" si="10"/>
        <v/>
      </c>
      <c r="BI17" s="17" t="str">
        <f t="shared" ca="1" si="10"/>
        <v/>
      </c>
      <c r="BJ17" s="17" t="str">
        <f t="shared" ca="1" si="10"/>
        <v/>
      </c>
      <c r="BK17" s="17" t="str">
        <f t="shared" ca="1" si="10"/>
        <v/>
      </c>
      <c r="BL17" s="17" t="str">
        <f t="shared" ca="1" si="10"/>
        <v/>
      </c>
      <c r="BM17" s="17" t="str">
        <f t="shared" ca="1" si="10"/>
        <v/>
      </c>
      <c r="BN17" s="17" t="str">
        <f t="shared" ca="1" si="10"/>
        <v/>
      </c>
      <c r="BO17" s="17" t="str">
        <f t="shared" ca="1" si="10"/>
        <v/>
      </c>
      <c r="BP17" s="17" t="str">
        <f t="shared" ca="1" si="10"/>
        <v/>
      </c>
      <c r="BQ17" s="17" t="str">
        <f t="shared" ref="BQ17:CY17" ca="1" si="11">IF(BQ$16&lt;&gt;"",COUNTIFS(INDIRECT("'"&amp;BQ$16&amp;"'!$A$2:$A$1000"),$A17),"")</f>
        <v/>
      </c>
      <c r="BR17" s="17" t="str">
        <f t="shared" ca="1" si="11"/>
        <v/>
      </c>
      <c r="BS17" s="17" t="str">
        <f t="shared" ca="1" si="11"/>
        <v/>
      </c>
      <c r="BT17" s="17" t="str">
        <f t="shared" ca="1" si="11"/>
        <v/>
      </c>
      <c r="BU17" s="17" t="str">
        <f t="shared" ca="1" si="11"/>
        <v/>
      </c>
      <c r="BV17" s="17" t="str">
        <f t="shared" ca="1" si="11"/>
        <v/>
      </c>
      <c r="BW17" s="17" t="str">
        <f t="shared" ca="1" si="11"/>
        <v/>
      </c>
      <c r="BX17" s="17" t="str">
        <f t="shared" ca="1" si="11"/>
        <v/>
      </c>
      <c r="BY17" s="17" t="str">
        <f t="shared" ca="1" si="11"/>
        <v/>
      </c>
      <c r="BZ17" s="17" t="str">
        <f t="shared" ca="1" si="11"/>
        <v/>
      </c>
      <c r="CA17" s="17" t="str">
        <f t="shared" ca="1" si="11"/>
        <v/>
      </c>
      <c r="CB17" s="17" t="str">
        <f t="shared" ca="1" si="11"/>
        <v/>
      </c>
      <c r="CC17" s="17" t="str">
        <f t="shared" ca="1" si="11"/>
        <v/>
      </c>
      <c r="CD17" s="17" t="str">
        <f t="shared" ca="1" si="11"/>
        <v/>
      </c>
      <c r="CE17" s="17" t="str">
        <f t="shared" ca="1" si="11"/>
        <v/>
      </c>
      <c r="CF17" s="17" t="str">
        <f t="shared" ca="1" si="11"/>
        <v/>
      </c>
      <c r="CG17" s="17" t="str">
        <f t="shared" ca="1" si="11"/>
        <v/>
      </c>
      <c r="CH17" s="17" t="str">
        <f t="shared" ca="1" si="11"/>
        <v/>
      </c>
      <c r="CI17" s="17" t="str">
        <f t="shared" ca="1" si="11"/>
        <v/>
      </c>
      <c r="CJ17" s="17" t="str">
        <f t="shared" ca="1" si="11"/>
        <v/>
      </c>
      <c r="CK17" s="17" t="str">
        <f t="shared" ca="1" si="11"/>
        <v/>
      </c>
      <c r="CL17" s="17" t="str">
        <f t="shared" ca="1" si="11"/>
        <v/>
      </c>
      <c r="CM17" s="17" t="str">
        <f t="shared" ca="1" si="11"/>
        <v/>
      </c>
      <c r="CN17" s="17" t="str">
        <f t="shared" ca="1" si="11"/>
        <v/>
      </c>
      <c r="CO17" s="17" t="str">
        <f t="shared" ca="1" si="11"/>
        <v/>
      </c>
      <c r="CP17" s="17" t="str">
        <f t="shared" ca="1" si="11"/>
        <v/>
      </c>
      <c r="CQ17" s="17" t="str">
        <f t="shared" ca="1" si="11"/>
        <v/>
      </c>
      <c r="CR17" s="17" t="str">
        <f t="shared" ca="1" si="11"/>
        <v/>
      </c>
      <c r="CS17" s="17" t="str">
        <f t="shared" ca="1" si="11"/>
        <v/>
      </c>
      <c r="CT17" s="17" t="str">
        <f t="shared" ca="1" si="11"/>
        <v/>
      </c>
      <c r="CU17" s="17" t="str">
        <f t="shared" ca="1" si="11"/>
        <v/>
      </c>
      <c r="CV17" s="17" t="str">
        <f t="shared" ca="1" si="11"/>
        <v/>
      </c>
      <c r="CW17" s="17" t="str">
        <f t="shared" ca="1" si="11"/>
        <v/>
      </c>
      <c r="CX17" s="17" t="str">
        <f t="shared" ca="1" si="11"/>
        <v/>
      </c>
      <c r="CY17" s="17" t="str">
        <f t="shared" ca="1" si="11"/>
        <v/>
      </c>
    </row>
    <row r="18" spans="1:103" s="9" customFormat="1" outlineLevel="1">
      <c r="A18" s="7" t="s">
        <v>8</v>
      </c>
      <c r="B18" s="7" t="s">
        <v>6</v>
      </c>
      <c r="C18" s="17">
        <f ca="1">COUNTIFS(INDIRECT("'"&amp;C$16&amp;"'!$A$2:$A$1000"),$A18,INDIRECT("'"&amp;C$16&amp;"'!$D$2:$D$1000"),$B18)</f>
        <v>0</v>
      </c>
      <c r="D18" s="17">
        <f ca="1">IF(D$16&lt;&gt;"",COUNTIFS(INDIRECT("'"&amp;D$16&amp;"'!$A$2:$A$1000"),$A18,INDIRECT("'"&amp;D$16&amp;"'!$E$2:$E$1000"),$B18),"")</f>
        <v>0</v>
      </c>
      <c r="E18" s="17" t="str">
        <f t="shared" ref="E18:BP19" ca="1" si="12">IF(E$16&lt;&gt;"",COUNTIFS(INDIRECT("'"&amp;E$16&amp;"'!$A$2:$A$1000"),$A18,INDIRECT("'"&amp;E$16&amp;"'!$E$2:$E$1000"),$B18),"")</f>
        <v/>
      </c>
      <c r="F18" s="17" t="str">
        <f t="shared" ca="1" si="12"/>
        <v/>
      </c>
      <c r="G18" s="17" t="str">
        <f t="shared" ca="1" si="12"/>
        <v/>
      </c>
      <c r="H18" s="17" t="str">
        <f t="shared" ca="1" si="12"/>
        <v/>
      </c>
      <c r="I18" s="17" t="str">
        <f t="shared" ca="1" si="12"/>
        <v/>
      </c>
      <c r="J18" s="17" t="str">
        <f t="shared" ca="1" si="12"/>
        <v/>
      </c>
      <c r="K18" s="17" t="str">
        <f t="shared" ca="1" si="12"/>
        <v/>
      </c>
      <c r="L18" s="17" t="str">
        <f t="shared" ca="1" si="12"/>
        <v/>
      </c>
      <c r="M18" s="17" t="str">
        <f t="shared" ca="1" si="12"/>
        <v/>
      </c>
      <c r="N18" s="17" t="str">
        <f t="shared" ca="1" si="12"/>
        <v/>
      </c>
      <c r="O18" s="17" t="str">
        <f t="shared" ca="1" si="12"/>
        <v/>
      </c>
      <c r="P18" s="17" t="str">
        <f t="shared" ca="1" si="12"/>
        <v/>
      </c>
      <c r="Q18" s="17" t="str">
        <f t="shared" ca="1" si="12"/>
        <v/>
      </c>
      <c r="R18" s="17" t="str">
        <f t="shared" ca="1" si="12"/>
        <v/>
      </c>
      <c r="S18" s="17" t="str">
        <f t="shared" ca="1" si="12"/>
        <v/>
      </c>
      <c r="T18" s="17" t="str">
        <f t="shared" ca="1" si="12"/>
        <v/>
      </c>
      <c r="U18" s="17" t="str">
        <f t="shared" ca="1" si="12"/>
        <v/>
      </c>
      <c r="V18" s="17" t="str">
        <f t="shared" ca="1" si="12"/>
        <v/>
      </c>
      <c r="W18" s="17" t="str">
        <f t="shared" ca="1" si="12"/>
        <v/>
      </c>
      <c r="X18" s="17" t="str">
        <f t="shared" ca="1" si="12"/>
        <v/>
      </c>
      <c r="Y18" s="17" t="str">
        <f t="shared" ca="1" si="12"/>
        <v/>
      </c>
      <c r="Z18" s="17" t="str">
        <f t="shared" ca="1" si="12"/>
        <v/>
      </c>
      <c r="AA18" s="17" t="str">
        <f t="shared" ca="1" si="12"/>
        <v/>
      </c>
      <c r="AB18" s="17" t="str">
        <f t="shared" ca="1" si="12"/>
        <v/>
      </c>
      <c r="AC18" s="17" t="str">
        <f t="shared" ca="1" si="12"/>
        <v/>
      </c>
      <c r="AD18" s="17" t="str">
        <f t="shared" ca="1" si="12"/>
        <v/>
      </c>
      <c r="AE18" s="17" t="str">
        <f t="shared" ca="1" si="12"/>
        <v/>
      </c>
      <c r="AF18" s="17" t="str">
        <f t="shared" ca="1" si="12"/>
        <v/>
      </c>
      <c r="AG18" s="17" t="str">
        <f t="shared" ca="1" si="12"/>
        <v/>
      </c>
      <c r="AH18" s="17" t="str">
        <f t="shared" ca="1" si="12"/>
        <v/>
      </c>
      <c r="AI18" s="17" t="str">
        <f t="shared" ca="1" si="12"/>
        <v/>
      </c>
      <c r="AJ18" s="17" t="str">
        <f t="shared" ca="1" si="12"/>
        <v/>
      </c>
      <c r="AK18" s="17" t="str">
        <f t="shared" ca="1" si="12"/>
        <v/>
      </c>
      <c r="AL18" s="17" t="str">
        <f t="shared" ca="1" si="12"/>
        <v/>
      </c>
      <c r="AM18" s="17" t="str">
        <f t="shared" ca="1" si="12"/>
        <v/>
      </c>
      <c r="AN18" s="17" t="str">
        <f t="shared" ca="1" si="12"/>
        <v/>
      </c>
      <c r="AO18" s="17" t="str">
        <f t="shared" ca="1" si="12"/>
        <v/>
      </c>
      <c r="AP18" s="17" t="str">
        <f t="shared" ca="1" si="12"/>
        <v/>
      </c>
      <c r="AQ18" s="17" t="str">
        <f t="shared" ca="1" si="12"/>
        <v/>
      </c>
      <c r="AR18" s="17" t="str">
        <f t="shared" ca="1" si="12"/>
        <v/>
      </c>
      <c r="AS18" s="17" t="str">
        <f t="shared" ca="1" si="12"/>
        <v/>
      </c>
      <c r="AT18" s="17" t="str">
        <f t="shared" ca="1" si="12"/>
        <v/>
      </c>
      <c r="AU18" s="17" t="str">
        <f t="shared" ca="1" si="12"/>
        <v/>
      </c>
      <c r="AV18" s="17" t="str">
        <f t="shared" ca="1" si="12"/>
        <v/>
      </c>
      <c r="AW18" s="17" t="str">
        <f t="shared" ca="1" si="12"/>
        <v/>
      </c>
      <c r="AX18" s="17" t="str">
        <f t="shared" ca="1" si="12"/>
        <v/>
      </c>
      <c r="AY18" s="17" t="str">
        <f t="shared" ca="1" si="12"/>
        <v/>
      </c>
      <c r="AZ18" s="17" t="str">
        <f t="shared" ca="1" si="12"/>
        <v/>
      </c>
      <c r="BA18" s="17" t="str">
        <f t="shared" ca="1" si="12"/>
        <v/>
      </c>
      <c r="BB18" s="17" t="str">
        <f t="shared" ca="1" si="12"/>
        <v/>
      </c>
      <c r="BC18" s="17" t="str">
        <f t="shared" ca="1" si="12"/>
        <v/>
      </c>
      <c r="BD18" s="17" t="str">
        <f t="shared" ca="1" si="12"/>
        <v/>
      </c>
      <c r="BE18" s="17" t="str">
        <f t="shared" ca="1" si="12"/>
        <v/>
      </c>
      <c r="BF18" s="17" t="str">
        <f t="shared" ca="1" si="12"/>
        <v/>
      </c>
      <c r="BG18" s="17" t="str">
        <f t="shared" ca="1" si="12"/>
        <v/>
      </c>
      <c r="BH18" s="17" t="str">
        <f t="shared" ca="1" si="12"/>
        <v/>
      </c>
      <c r="BI18" s="17" t="str">
        <f t="shared" ca="1" si="12"/>
        <v/>
      </c>
      <c r="BJ18" s="17" t="str">
        <f t="shared" ca="1" si="12"/>
        <v/>
      </c>
      <c r="BK18" s="17" t="str">
        <f t="shared" ca="1" si="12"/>
        <v/>
      </c>
      <c r="BL18" s="17" t="str">
        <f t="shared" ca="1" si="12"/>
        <v/>
      </c>
      <c r="BM18" s="17" t="str">
        <f t="shared" ca="1" si="12"/>
        <v/>
      </c>
      <c r="BN18" s="17" t="str">
        <f t="shared" ca="1" si="12"/>
        <v/>
      </c>
      <c r="BO18" s="17" t="str">
        <f t="shared" ca="1" si="12"/>
        <v/>
      </c>
      <c r="BP18" s="17" t="str">
        <f t="shared" ca="1" si="12"/>
        <v/>
      </c>
      <c r="BQ18" s="17" t="str">
        <f t="shared" ref="BQ18:CY21" ca="1" si="13">IF(BQ$16&lt;&gt;"",COUNTIFS(INDIRECT("'"&amp;BQ$16&amp;"'!$A$2:$A$1000"),$A18,INDIRECT("'"&amp;BQ$16&amp;"'!$E$2:$E$1000"),$B18),"")</f>
        <v/>
      </c>
      <c r="BR18" s="17" t="str">
        <f t="shared" ca="1" si="13"/>
        <v/>
      </c>
      <c r="BS18" s="17" t="str">
        <f t="shared" ca="1" si="13"/>
        <v/>
      </c>
      <c r="BT18" s="17" t="str">
        <f t="shared" ca="1" si="13"/>
        <v/>
      </c>
      <c r="BU18" s="17" t="str">
        <f t="shared" ca="1" si="13"/>
        <v/>
      </c>
      <c r="BV18" s="17" t="str">
        <f t="shared" ca="1" si="13"/>
        <v/>
      </c>
      <c r="BW18" s="17" t="str">
        <f t="shared" ca="1" si="13"/>
        <v/>
      </c>
      <c r="BX18" s="17" t="str">
        <f t="shared" ca="1" si="13"/>
        <v/>
      </c>
      <c r="BY18" s="17" t="str">
        <f t="shared" ca="1" si="13"/>
        <v/>
      </c>
      <c r="BZ18" s="17" t="str">
        <f t="shared" ca="1" si="13"/>
        <v/>
      </c>
      <c r="CA18" s="17" t="str">
        <f t="shared" ca="1" si="13"/>
        <v/>
      </c>
      <c r="CB18" s="17" t="str">
        <f t="shared" ca="1" si="13"/>
        <v/>
      </c>
      <c r="CC18" s="17" t="str">
        <f t="shared" ca="1" si="13"/>
        <v/>
      </c>
      <c r="CD18" s="17" t="str">
        <f t="shared" ca="1" si="13"/>
        <v/>
      </c>
      <c r="CE18" s="17" t="str">
        <f t="shared" ca="1" si="13"/>
        <v/>
      </c>
      <c r="CF18" s="17" t="str">
        <f t="shared" ca="1" si="13"/>
        <v/>
      </c>
      <c r="CG18" s="17" t="str">
        <f t="shared" ca="1" si="13"/>
        <v/>
      </c>
      <c r="CH18" s="17" t="str">
        <f t="shared" ca="1" si="13"/>
        <v/>
      </c>
      <c r="CI18" s="17" t="str">
        <f t="shared" ca="1" si="13"/>
        <v/>
      </c>
      <c r="CJ18" s="17" t="str">
        <f t="shared" ca="1" si="13"/>
        <v/>
      </c>
      <c r="CK18" s="17" t="str">
        <f t="shared" ca="1" si="13"/>
        <v/>
      </c>
      <c r="CL18" s="17" t="str">
        <f t="shared" ca="1" si="13"/>
        <v/>
      </c>
      <c r="CM18" s="17" t="str">
        <f t="shared" ca="1" si="13"/>
        <v/>
      </c>
      <c r="CN18" s="17" t="str">
        <f t="shared" ca="1" si="13"/>
        <v/>
      </c>
      <c r="CO18" s="17" t="str">
        <f t="shared" ca="1" si="13"/>
        <v/>
      </c>
      <c r="CP18" s="17" t="str">
        <f t="shared" ca="1" si="13"/>
        <v/>
      </c>
      <c r="CQ18" s="17" t="str">
        <f t="shared" ca="1" si="13"/>
        <v/>
      </c>
      <c r="CR18" s="17" t="str">
        <f t="shared" ca="1" si="13"/>
        <v/>
      </c>
      <c r="CS18" s="17" t="str">
        <f t="shared" ca="1" si="13"/>
        <v/>
      </c>
      <c r="CT18" s="17" t="str">
        <f t="shared" ca="1" si="13"/>
        <v/>
      </c>
      <c r="CU18" s="17" t="str">
        <f t="shared" ca="1" si="13"/>
        <v/>
      </c>
      <c r="CV18" s="17" t="str">
        <f t="shared" ca="1" si="13"/>
        <v/>
      </c>
      <c r="CW18" s="17" t="str">
        <f t="shared" ca="1" si="13"/>
        <v/>
      </c>
      <c r="CX18" s="17" t="str">
        <f t="shared" ca="1" si="13"/>
        <v/>
      </c>
      <c r="CY18" s="17" t="str">
        <f t="shared" ca="1" si="13"/>
        <v/>
      </c>
    </row>
    <row r="19" spans="1:103" s="9" customFormat="1" outlineLevel="1">
      <c r="A19" s="7" t="s">
        <v>8</v>
      </c>
      <c r="B19" s="7" t="s">
        <v>5</v>
      </c>
      <c r="C19" s="17">
        <f ca="1">COUNTIFS(INDIRECT("'"&amp;C$16&amp;"'!$A$2:$A$1000"),$A19,INDIRECT("'"&amp;C$16&amp;"'!$D$2:$D$1000"),$B19)</f>
        <v>0</v>
      </c>
      <c r="D19" s="17">
        <f ca="1">IF(D$16&lt;&gt;"",COUNTIFS(INDIRECT("'"&amp;D$16&amp;"'!$A$2:$A$1000"),$A19,INDIRECT("'"&amp;D$16&amp;"'!$E$2:$E$1000"),$B19),"")</f>
        <v>0</v>
      </c>
      <c r="E19" s="17" t="str">
        <f t="shared" ref="E19:S19" ca="1" si="14">IF(E$16&lt;&gt;"",COUNTIFS(INDIRECT("'"&amp;E$16&amp;"'!$A$2:$A$1000"),$A19,INDIRECT("'"&amp;E$16&amp;"'!$E$2:$E$1000"),$B19),"")</f>
        <v/>
      </c>
      <c r="F19" s="17" t="str">
        <f t="shared" ca="1" si="14"/>
        <v/>
      </c>
      <c r="G19" s="17" t="str">
        <f t="shared" ca="1" si="14"/>
        <v/>
      </c>
      <c r="H19" s="17" t="str">
        <f t="shared" ca="1" si="14"/>
        <v/>
      </c>
      <c r="I19" s="17" t="str">
        <f t="shared" ca="1" si="14"/>
        <v/>
      </c>
      <c r="J19" s="17" t="str">
        <f t="shared" ca="1" si="14"/>
        <v/>
      </c>
      <c r="K19" s="17" t="str">
        <f t="shared" ca="1" si="14"/>
        <v/>
      </c>
      <c r="L19" s="17" t="str">
        <f t="shared" ca="1" si="14"/>
        <v/>
      </c>
      <c r="M19" s="17" t="str">
        <f t="shared" ca="1" si="14"/>
        <v/>
      </c>
      <c r="N19" s="17" t="str">
        <f t="shared" ca="1" si="14"/>
        <v/>
      </c>
      <c r="O19" s="17" t="str">
        <f t="shared" ca="1" si="14"/>
        <v/>
      </c>
      <c r="P19" s="17" t="str">
        <f t="shared" ca="1" si="14"/>
        <v/>
      </c>
      <c r="Q19" s="17" t="str">
        <f t="shared" ca="1" si="14"/>
        <v/>
      </c>
      <c r="R19" s="17" t="str">
        <f t="shared" ca="1" si="14"/>
        <v/>
      </c>
      <c r="S19" s="17" t="str">
        <f t="shared" ca="1" si="14"/>
        <v/>
      </c>
      <c r="T19" s="17" t="str">
        <f t="shared" ca="1" si="12"/>
        <v/>
      </c>
      <c r="U19" s="17" t="str">
        <f t="shared" ca="1" si="12"/>
        <v/>
      </c>
      <c r="V19" s="17" t="str">
        <f t="shared" ca="1" si="12"/>
        <v/>
      </c>
      <c r="W19" s="17" t="str">
        <f t="shared" ca="1" si="12"/>
        <v/>
      </c>
      <c r="X19" s="17" t="str">
        <f t="shared" ca="1" si="12"/>
        <v/>
      </c>
      <c r="Y19" s="17" t="str">
        <f t="shared" ca="1" si="12"/>
        <v/>
      </c>
      <c r="Z19" s="17" t="str">
        <f t="shared" ca="1" si="12"/>
        <v/>
      </c>
      <c r="AA19" s="17" t="str">
        <f t="shared" ca="1" si="12"/>
        <v/>
      </c>
      <c r="AB19" s="17" t="str">
        <f t="shared" ca="1" si="12"/>
        <v/>
      </c>
      <c r="AC19" s="17" t="str">
        <f t="shared" ca="1" si="12"/>
        <v/>
      </c>
      <c r="AD19" s="17" t="str">
        <f t="shared" ca="1" si="12"/>
        <v/>
      </c>
      <c r="AE19" s="17" t="str">
        <f t="shared" ca="1" si="12"/>
        <v/>
      </c>
      <c r="AF19" s="17" t="str">
        <f t="shared" ca="1" si="12"/>
        <v/>
      </c>
      <c r="AG19" s="17" t="str">
        <f t="shared" ca="1" si="12"/>
        <v/>
      </c>
      <c r="AH19" s="17" t="str">
        <f t="shared" ca="1" si="12"/>
        <v/>
      </c>
      <c r="AI19" s="17" t="str">
        <f t="shared" ca="1" si="12"/>
        <v/>
      </c>
      <c r="AJ19" s="17" t="str">
        <f t="shared" ca="1" si="12"/>
        <v/>
      </c>
      <c r="AK19" s="17" t="str">
        <f t="shared" ca="1" si="12"/>
        <v/>
      </c>
      <c r="AL19" s="17" t="str">
        <f t="shared" ca="1" si="12"/>
        <v/>
      </c>
      <c r="AM19" s="17" t="str">
        <f t="shared" ca="1" si="12"/>
        <v/>
      </c>
      <c r="AN19" s="17" t="str">
        <f t="shared" ca="1" si="12"/>
        <v/>
      </c>
      <c r="AO19" s="17" t="str">
        <f t="shared" ca="1" si="12"/>
        <v/>
      </c>
      <c r="AP19" s="17" t="str">
        <f t="shared" ca="1" si="12"/>
        <v/>
      </c>
      <c r="AQ19" s="17" t="str">
        <f t="shared" ca="1" si="12"/>
        <v/>
      </c>
      <c r="AR19" s="17" t="str">
        <f t="shared" ca="1" si="12"/>
        <v/>
      </c>
      <c r="AS19" s="17" t="str">
        <f t="shared" ca="1" si="12"/>
        <v/>
      </c>
      <c r="AT19" s="17" t="str">
        <f t="shared" ca="1" si="12"/>
        <v/>
      </c>
      <c r="AU19" s="17" t="str">
        <f t="shared" ca="1" si="12"/>
        <v/>
      </c>
      <c r="AV19" s="17" t="str">
        <f t="shared" ca="1" si="12"/>
        <v/>
      </c>
      <c r="AW19" s="17" t="str">
        <f t="shared" ca="1" si="12"/>
        <v/>
      </c>
      <c r="AX19" s="17" t="str">
        <f t="shared" ca="1" si="12"/>
        <v/>
      </c>
      <c r="AY19" s="17" t="str">
        <f t="shared" ca="1" si="12"/>
        <v/>
      </c>
      <c r="AZ19" s="17" t="str">
        <f t="shared" ca="1" si="12"/>
        <v/>
      </c>
      <c r="BA19" s="17" t="str">
        <f t="shared" ca="1" si="12"/>
        <v/>
      </c>
      <c r="BB19" s="17" t="str">
        <f t="shared" ca="1" si="12"/>
        <v/>
      </c>
      <c r="BC19" s="17" t="str">
        <f t="shared" ca="1" si="12"/>
        <v/>
      </c>
      <c r="BD19" s="17" t="str">
        <f t="shared" ca="1" si="12"/>
        <v/>
      </c>
      <c r="BE19" s="17" t="str">
        <f t="shared" ca="1" si="12"/>
        <v/>
      </c>
      <c r="BF19" s="17" t="str">
        <f t="shared" ca="1" si="12"/>
        <v/>
      </c>
      <c r="BG19" s="17" t="str">
        <f t="shared" ca="1" si="12"/>
        <v/>
      </c>
      <c r="BH19" s="17" t="str">
        <f t="shared" ca="1" si="12"/>
        <v/>
      </c>
      <c r="BI19" s="17" t="str">
        <f t="shared" ca="1" si="12"/>
        <v/>
      </c>
      <c r="BJ19" s="17" t="str">
        <f t="shared" ca="1" si="12"/>
        <v/>
      </c>
      <c r="BK19" s="17" t="str">
        <f t="shared" ca="1" si="12"/>
        <v/>
      </c>
      <c r="BL19" s="17" t="str">
        <f t="shared" ca="1" si="12"/>
        <v/>
      </c>
      <c r="BM19" s="17" t="str">
        <f t="shared" ca="1" si="12"/>
        <v/>
      </c>
      <c r="BN19" s="17" t="str">
        <f t="shared" ca="1" si="12"/>
        <v/>
      </c>
      <c r="BO19" s="17" t="str">
        <f t="shared" ca="1" si="12"/>
        <v/>
      </c>
      <c r="BP19" s="17" t="str">
        <f t="shared" ca="1" si="12"/>
        <v/>
      </c>
      <c r="BQ19" s="17" t="str">
        <f t="shared" ca="1" si="13"/>
        <v/>
      </c>
      <c r="BR19" s="17" t="str">
        <f t="shared" ca="1" si="13"/>
        <v/>
      </c>
      <c r="BS19" s="17" t="str">
        <f t="shared" ca="1" si="13"/>
        <v/>
      </c>
      <c r="BT19" s="17" t="str">
        <f t="shared" ca="1" si="13"/>
        <v/>
      </c>
      <c r="BU19" s="17" t="str">
        <f t="shared" ca="1" si="13"/>
        <v/>
      </c>
      <c r="BV19" s="17" t="str">
        <f t="shared" ca="1" si="13"/>
        <v/>
      </c>
      <c r="BW19" s="17" t="str">
        <f t="shared" ca="1" si="13"/>
        <v/>
      </c>
      <c r="BX19" s="17" t="str">
        <f t="shared" ca="1" si="13"/>
        <v/>
      </c>
      <c r="BY19" s="17" t="str">
        <f t="shared" ca="1" si="13"/>
        <v/>
      </c>
      <c r="BZ19" s="17" t="str">
        <f t="shared" ca="1" si="13"/>
        <v/>
      </c>
      <c r="CA19" s="17" t="str">
        <f t="shared" ca="1" si="13"/>
        <v/>
      </c>
      <c r="CB19" s="17" t="str">
        <f t="shared" ca="1" si="13"/>
        <v/>
      </c>
      <c r="CC19" s="17" t="str">
        <f t="shared" ca="1" si="13"/>
        <v/>
      </c>
      <c r="CD19" s="17" t="str">
        <f t="shared" ca="1" si="13"/>
        <v/>
      </c>
      <c r="CE19" s="17" t="str">
        <f t="shared" ca="1" si="13"/>
        <v/>
      </c>
      <c r="CF19" s="17" t="str">
        <f t="shared" ca="1" si="13"/>
        <v/>
      </c>
      <c r="CG19" s="17" t="str">
        <f t="shared" ca="1" si="13"/>
        <v/>
      </c>
      <c r="CH19" s="17" t="str">
        <f t="shared" ca="1" si="13"/>
        <v/>
      </c>
      <c r="CI19" s="17" t="str">
        <f t="shared" ca="1" si="13"/>
        <v/>
      </c>
      <c r="CJ19" s="17" t="str">
        <f t="shared" ca="1" si="13"/>
        <v/>
      </c>
      <c r="CK19" s="17" t="str">
        <f t="shared" ca="1" si="13"/>
        <v/>
      </c>
      <c r="CL19" s="17" t="str">
        <f t="shared" ca="1" si="13"/>
        <v/>
      </c>
      <c r="CM19" s="17" t="str">
        <f t="shared" ca="1" si="13"/>
        <v/>
      </c>
      <c r="CN19" s="17" t="str">
        <f t="shared" ca="1" si="13"/>
        <v/>
      </c>
      <c r="CO19" s="17" t="str">
        <f t="shared" ca="1" si="13"/>
        <v/>
      </c>
      <c r="CP19" s="17" t="str">
        <f t="shared" ca="1" si="13"/>
        <v/>
      </c>
      <c r="CQ19" s="17" t="str">
        <f t="shared" ca="1" si="13"/>
        <v/>
      </c>
      <c r="CR19" s="17" t="str">
        <f t="shared" ca="1" si="13"/>
        <v/>
      </c>
      <c r="CS19" s="17" t="str">
        <f t="shared" ca="1" si="13"/>
        <v/>
      </c>
      <c r="CT19" s="17" t="str">
        <f t="shared" ca="1" si="13"/>
        <v/>
      </c>
      <c r="CU19" s="17" t="str">
        <f t="shared" ca="1" si="13"/>
        <v/>
      </c>
      <c r="CV19" s="17" t="str">
        <f t="shared" ca="1" si="13"/>
        <v/>
      </c>
      <c r="CW19" s="17" t="str">
        <f t="shared" ca="1" si="13"/>
        <v/>
      </c>
      <c r="CX19" s="17" t="str">
        <f t="shared" ca="1" si="13"/>
        <v/>
      </c>
      <c r="CY19" s="17" t="str">
        <f t="shared" ca="1" si="13"/>
        <v/>
      </c>
    </row>
    <row r="20" spans="1:103" s="9" customFormat="1" outlineLevel="1">
      <c r="A20" s="7" t="s">
        <v>8</v>
      </c>
      <c r="B20" s="7" t="s">
        <v>7</v>
      </c>
      <c r="C20" s="17">
        <f ca="1">COUNTIFS(INDIRECT("'"&amp;C$16&amp;"'!$A$2:$A$1000"),$A20,INDIRECT("'"&amp;C$16&amp;"'!$D$2:$D$1000"),$B20)
+COUNTIFS(INDIRECT("'"&amp;C$16&amp;"'!$A$2:$A$1000"),$A20,INDIRECT("'"&amp;C$16&amp;"'!$D$2:$D$1000"),"")</f>
        <v>127</v>
      </c>
      <c r="D20" s="17">
        <f ca="1">IF(D$16&lt;&gt;"",COUNTIFS(INDIRECT("'"&amp;D$16&amp;"'!$A$2:$A$1000"),$A20,INDIRECT("'"&amp;D$16&amp;"'!$E$2:$E$1000"),$B20),"")</f>
        <v>0</v>
      </c>
      <c r="E20" s="17" t="str">
        <f t="shared" ref="E20:BP21" ca="1" si="15">IF(E$16&lt;&gt;"",COUNTIFS(INDIRECT("'"&amp;E$16&amp;"'!$A$2:$A$1000"),$A20,INDIRECT("'"&amp;E$16&amp;"'!$E$2:$E$1000"),$B20),"")</f>
        <v/>
      </c>
      <c r="F20" s="17" t="str">
        <f t="shared" ca="1" si="15"/>
        <v/>
      </c>
      <c r="G20" s="17" t="str">
        <f t="shared" ca="1" si="15"/>
        <v/>
      </c>
      <c r="H20" s="17" t="str">
        <f t="shared" ca="1" si="15"/>
        <v/>
      </c>
      <c r="I20" s="17" t="str">
        <f t="shared" ca="1" si="15"/>
        <v/>
      </c>
      <c r="J20" s="17" t="str">
        <f t="shared" ca="1" si="15"/>
        <v/>
      </c>
      <c r="K20" s="17" t="str">
        <f t="shared" ca="1" si="15"/>
        <v/>
      </c>
      <c r="L20" s="17" t="str">
        <f t="shared" ca="1" si="15"/>
        <v/>
      </c>
      <c r="M20" s="17" t="str">
        <f t="shared" ca="1" si="15"/>
        <v/>
      </c>
      <c r="N20" s="17" t="str">
        <f t="shared" ca="1" si="15"/>
        <v/>
      </c>
      <c r="O20" s="17" t="str">
        <f t="shared" ca="1" si="15"/>
        <v/>
      </c>
      <c r="P20" s="17" t="str">
        <f t="shared" ca="1" si="15"/>
        <v/>
      </c>
      <c r="Q20" s="17" t="str">
        <f t="shared" ca="1" si="15"/>
        <v/>
      </c>
      <c r="R20" s="17" t="str">
        <f t="shared" ca="1" si="15"/>
        <v/>
      </c>
      <c r="S20" s="17" t="str">
        <f t="shared" ca="1" si="15"/>
        <v/>
      </c>
      <c r="T20" s="17" t="str">
        <f t="shared" ca="1" si="15"/>
        <v/>
      </c>
      <c r="U20" s="17" t="str">
        <f t="shared" ca="1" si="15"/>
        <v/>
      </c>
      <c r="V20" s="17" t="str">
        <f t="shared" ca="1" si="15"/>
        <v/>
      </c>
      <c r="W20" s="17" t="str">
        <f t="shared" ca="1" si="15"/>
        <v/>
      </c>
      <c r="X20" s="17" t="str">
        <f t="shared" ca="1" si="15"/>
        <v/>
      </c>
      <c r="Y20" s="17" t="str">
        <f t="shared" ca="1" si="15"/>
        <v/>
      </c>
      <c r="Z20" s="17" t="str">
        <f t="shared" ca="1" si="15"/>
        <v/>
      </c>
      <c r="AA20" s="17" t="str">
        <f t="shared" ca="1" si="15"/>
        <v/>
      </c>
      <c r="AB20" s="17" t="str">
        <f t="shared" ca="1" si="15"/>
        <v/>
      </c>
      <c r="AC20" s="17" t="str">
        <f t="shared" ca="1" si="15"/>
        <v/>
      </c>
      <c r="AD20" s="17" t="str">
        <f t="shared" ca="1" si="15"/>
        <v/>
      </c>
      <c r="AE20" s="17" t="str">
        <f t="shared" ca="1" si="15"/>
        <v/>
      </c>
      <c r="AF20" s="17" t="str">
        <f t="shared" ca="1" si="15"/>
        <v/>
      </c>
      <c r="AG20" s="17" t="str">
        <f t="shared" ca="1" si="15"/>
        <v/>
      </c>
      <c r="AH20" s="17" t="str">
        <f t="shared" ca="1" si="15"/>
        <v/>
      </c>
      <c r="AI20" s="17" t="str">
        <f t="shared" ca="1" si="15"/>
        <v/>
      </c>
      <c r="AJ20" s="17" t="str">
        <f t="shared" ca="1" si="15"/>
        <v/>
      </c>
      <c r="AK20" s="17" t="str">
        <f t="shared" ca="1" si="15"/>
        <v/>
      </c>
      <c r="AL20" s="17" t="str">
        <f t="shared" ca="1" si="15"/>
        <v/>
      </c>
      <c r="AM20" s="17" t="str">
        <f t="shared" ca="1" si="15"/>
        <v/>
      </c>
      <c r="AN20" s="17" t="str">
        <f t="shared" ca="1" si="15"/>
        <v/>
      </c>
      <c r="AO20" s="17" t="str">
        <f t="shared" ca="1" si="15"/>
        <v/>
      </c>
      <c r="AP20" s="17" t="str">
        <f t="shared" ca="1" si="15"/>
        <v/>
      </c>
      <c r="AQ20" s="17" t="str">
        <f t="shared" ca="1" si="15"/>
        <v/>
      </c>
      <c r="AR20" s="17" t="str">
        <f t="shared" ca="1" si="15"/>
        <v/>
      </c>
      <c r="AS20" s="17" t="str">
        <f t="shared" ca="1" si="15"/>
        <v/>
      </c>
      <c r="AT20" s="17" t="str">
        <f t="shared" ca="1" si="15"/>
        <v/>
      </c>
      <c r="AU20" s="17" t="str">
        <f t="shared" ca="1" si="15"/>
        <v/>
      </c>
      <c r="AV20" s="17" t="str">
        <f t="shared" ca="1" si="15"/>
        <v/>
      </c>
      <c r="AW20" s="17" t="str">
        <f t="shared" ca="1" si="15"/>
        <v/>
      </c>
      <c r="AX20" s="17" t="str">
        <f t="shared" ca="1" si="15"/>
        <v/>
      </c>
      <c r="AY20" s="17" t="str">
        <f t="shared" ca="1" si="15"/>
        <v/>
      </c>
      <c r="AZ20" s="17" t="str">
        <f t="shared" ca="1" si="15"/>
        <v/>
      </c>
      <c r="BA20" s="17" t="str">
        <f t="shared" ca="1" si="15"/>
        <v/>
      </c>
      <c r="BB20" s="17" t="str">
        <f t="shared" ca="1" si="15"/>
        <v/>
      </c>
      <c r="BC20" s="17" t="str">
        <f t="shared" ca="1" si="15"/>
        <v/>
      </c>
      <c r="BD20" s="17" t="str">
        <f t="shared" ca="1" si="15"/>
        <v/>
      </c>
      <c r="BE20" s="17" t="str">
        <f t="shared" ca="1" si="15"/>
        <v/>
      </c>
      <c r="BF20" s="17" t="str">
        <f t="shared" ca="1" si="15"/>
        <v/>
      </c>
      <c r="BG20" s="17" t="str">
        <f t="shared" ca="1" si="15"/>
        <v/>
      </c>
      <c r="BH20" s="17" t="str">
        <f t="shared" ca="1" si="15"/>
        <v/>
      </c>
      <c r="BI20" s="17" t="str">
        <f t="shared" ca="1" si="15"/>
        <v/>
      </c>
      <c r="BJ20" s="17" t="str">
        <f t="shared" ca="1" si="15"/>
        <v/>
      </c>
      <c r="BK20" s="17" t="str">
        <f t="shared" ca="1" si="15"/>
        <v/>
      </c>
      <c r="BL20" s="17" t="str">
        <f t="shared" ca="1" si="15"/>
        <v/>
      </c>
      <c r="BM20" s="17" t="str">
        <f t="shared" ca="1" si="15"/>
        <v/>
      </c>
      <c r="BN20" s="17" t="str">
        <f t="shared" ca="1" si="15"/>
        <v/>
      </c>
      <c r="BO20" s="17" t="str">
        <f t="shared" ca="1" si="15"/>
        <v/>
      </c>
      <c r="BP20" s="17" t="str">
        <f t="shared" ca="1" si="15"/>
        <v/>
      </c>
      <c r="BQ20" s="17" t="str">
        <f t="shared" ca="1" si="13"/>
        <v/>
      </c>
      <c r="BR20" s="17" t="str">
        <f t="shared" ca="1" si="13"/>
        <v/>
      </c>
      <c r="BS20" s="17" t="str">
        <f t="shared" ca="1" si="13"/>
        <v/>
      </c>
      <c r="BT20" s="17" t="str">
        <f t="shared" ca="1" si="13"/>
        <v/>
      </c>
      <c r="BU20" s="17" t="str">
        <f t="shared" ca="1" si="13"/>
        <v/>
      </c>
      <c r="BV20" s="17" t="str">
        <f t="shared" ca="1" si="13"/>
        <v/>
      </c>
      <c r="BW20" s="17" t="str">
        <f t="shared" ca="1" si="13"/>
        <v/>
      </c>
      <c r="BX20" s="17" t="str">
        <f t="shared" ca="1" si="13"/>
        <v/>
      </c>
      <c r="BY20" s="17" t="str">
        <f t="shared" ca="1" si="13"/>
        <v/>
      </c>
      <c r="BZ20" s="17" t="str">
        <f t="shared" ca="1" si="13"/>
        <v/>
      </c>
      <c r="CA20" s="17" t="str">
        <f t="shared" ca="1" si="13"/>
        <v/>
      </c>
      <c r="CB20" s="17" t="str">
        <f t="shared" ca="1" si="13"/>
        <v/>
      </c>
      <c r="CC20" s="17" t="str">
        <f t="shared" ca="1" si="13"/>
        <v/>
      </c>
      <c r="CD20" s="17" t="str">
        <f t="shared" ca="1" si="13"/>
        <v/>
      </c>
      <c r="CE20" s="17" t="str">
        <f t="shared" ca="1" si="13"/>
        <v/>
      </c>
      <c r="CF20" s="17" t="str">
        <f t="shared" ca="1" si="13"/>
        <v/>
      </c>
      <c r="CG20" s="17" t="str">
        <f t="shared" ca="1" si="13"/>
        <v/>
      </c>
      <c r="CH20" s="17" t="str">
        <f t="shared" ca="1" si="13"/>
        <v/>
      </c>
      <c r="CI20" s="17" t="str">
        <f t="shared" ca="1" si="13"/>
        <v/>
      </c>
      <c r="CJ20" s="17" t="str">
        <f t="shared" ca="1" si="13"/>
        <v/>
      </c>
      <c r="CK20" s="17" t="str">
        <f t="shared" ca="1" si="13"/>
        <v/>
      </c>
      <c r="CL20" s="17" t="str">
        <f t="shared" ca="1" si="13"/>
        <v/>
      </c>
      <c r="CM20" s="17" t="str">
        <f t="shared" ca="1" si="13"/>
        <v/>
      </c>
      <c r="CN20" s="17" t="str">
        <f t="shared" ca="1" si="13"/>
        <v/>
      </c>
      <c r="CO20" s="17" t="str">
        <f t="shared" ca="1" si="13"/>
        <v/>
      </c>
      <c r="CP20" s="17" t="str">
        <f t="shared" ca="1" si="13"/>
        <v/>
      </c>
      <c r="CQ20" s="17" t="str">
        <f t="shared" ca="1" si="13"/>
        <v/>
      </c>
      <c r="CR20" s="17" t="str">
        <f t="shared" ca="1" si="13"/>
        <v/>
      </c>
      <c r="CS20" s="17" t="str">
        <f t="shared" ca="1" si="13"/>
        <v/>
      </c>
      <c r="CT20" s="17" t="str">
        <f t="shared" ca="1" si="13"/>
        <v/>
      </c>
      <c r="CU20" s="17" t="str">
        <f t="shared" ca="1" si="13"/>
        <v/>
      </c>
      <c r="CV20" s="17" t="str">
        <f t="shared" ca="1" si="13"/>
        <v/>
      </c>
      <c r="CW20" s="17" t="str">
        <f t="shared" ca="1" si="13"/>
        <v/>
      </c>
      <c r="CX20" s="17" t="str">
        <f t="shared" ca="1" si="13"/>
        <v/>
      </c>
      <c r="CY20" s="17" t="str">
        <f t="shared" ca="1" si="13"/>
        <v/>
      </c>
    </row>
    <row r="21" spans="1:103" s="9" customFormat="1" outlineLevel="1">
      <c r="A21" s="7" t="s">
        <v>8</v>
      </c>
      <c r="B21" s="7" t="s">
        <v>13</v>
      </c>
      <c r="C21" s="17">
        <f ca="1">COUNTIFS(INDIRECT("'"&amp;C$16&amp;"'!$A$2:$A$1000"),$A21,INDIRECT("'"&amp;C$16&amp;"'!$D$2:$D$1000"),$B21)</f>
        <v>0</v>
      </c>
      <c r="D21" s="17">
        <f ca="1">IF(D$16&lt;&gt;"",COUNTIFS(INDIRECT("'"&amp;D$16&amp;"'!$A$2:$A$1000"),$A21,INDIRECT("'"&amp;D$16&amp;"'!$E$2:$E$1000"),$B21),"")</f>
        <v>0</v>
      </c>
      <c r="E21" s="17" t="str">
        <f t="shared" ca="1" si="15"/>
        <v/>
      </c>
      <c r="F21" s="17" t="str">
        <f t="shared" ca="1" si="15"/>
        <v/>
      </c>
      <c r="G21" s="17" t="str">
        <f t="shared" ca="1" si="15"/>
        <v/>
      </c>
      <c r="H21" s="17" t="str">
        <f t="shared" ca="1" si="15"/>
        <v/>
      </c>
      <c r="I21" s="17" t="str">
        <f t="shared" ca="1" si="15"/>
        <v/>
      </c>
      <c r="J21" s="17" t="str">
        <f t="shared" ca="1" si="15"/>
        <v/>
      </c>
      <c r="K21" s="17" t="str">
        <f t="shared" ca="1" si="15"/>
        <v/>
      </c>
      <c r="L21" s="17" t="str">
        <f t="shared" ca="1" si="15"/>
        <v/>
      </c>
      <c r="M21" s="17" t="str">
        <f t="shared" ca="1" si="15"/>
        <v/>
      </c>
      <c r="N21" s="17" t="str">
        <f t="shared" ca="1" si="15"/>
        <v/>
      </c>
      <c r="O21" s="17" t="str">
        <f t="shared" ca="1" si="15"/>
        <v/>
      </c>
      <c r="P21" s="17" t="str">
        <f t="shared" ca="1" si="15"/>
        <v/>
      </c>
      <c r="Q21" s="17" t="str">
        <f t="shared" ca="1" si="15"/>
        <v/>
      </c>
      <c r="R21" s="17" t="str">
        <f t="shared" ca="1" si="15"/>
        <v/>
      </c>
      <c r="S21" s="17" t="str">
        <f t="shared" ca="1" si="15"/>
        <v/>
      </c>
      <c r="T21" s="17" t="str">
        <f t="shared" ca="1" si="15"/>
        <v/>
      </c>
      <c r="U21" s="17" t="str">
        <f t="shared" ca="1" si="15"/>
        <v/>
      </c>
      <c r="V21" s="17" t="str">
        <f t="shared" ca="1" si="15"/>
        <v/>
      </c>
      <c r="W21" s="17" t="str">
        <f t="shared" ca="1" si="15"/>
        <v/>
      </c>
      <c r="X21" s="17" t="str">
        <f t="shared" ca="1" si="15"/>
        <v/>
      </c>
      <c r="Y21" s="17" t="str">
        <f t="shared" ca="1" si="15"/>
        <v/>
      </c>
      <c r="Z21" s="17" t="str">
        <f t="shared" ca="1" si="15"/>
        <v/>
      </c>
      <c r="AA21" s="17" t="str">
        <f t="shared" ca="1" si="15"/>
        <v/>
      </c>
      <c r="AB21" s="17" t="str">
        <f t="shared" ca="1" si="15"/>
        <v/>
      </c>
      <c r="AC21" s="17" t="str">
        <f t="shared" ca="1" si="15"/>
        <v/>
      </c>
      <c r="AD21" s="17" t="str">
        <f t="shared" ca="1" si="15"/>
        <v/>
      </c>
      <c r="AE21" s="17" t="str">
        <f t="shared" ca="1" si="15"/>
        <v/>
      </c>
      <c r="AF21" s="17" t="str">
        <f t="shared" ca="1" si="15"/>
        <v/>
      </c>
      <c r="AG21" s="17" t="str">
        <f t="shared" ca="1" si="15"/>
        <v/>
      </c>
      <c r="AH21" s="17" t="str">
        <f t="shared" ca="1" si="15"/>
        <v/>
      </c>
      <c r="AI21" s="17" t="str">
        <f t="shared" ca="1" si="15"/>
        <v/>
      </c>
      <c r="AJ21" s="17" t="str">
        <f t="shared" ca="1" si="15"/>
        <v/>
      </c>
      <c r="AK21" s="17" t="str">
        <f t="shared" ca="1" si="15"/>
        <v/>
      </c>
      <c r="AL21" s="17" t="str">
        <f t="shared" ca="1" si="15"/>
        <v/>
      </c>
      <c r="AM21" s="17" t="str">
        <f t="shared" ca="1" si="15"/>
        <v/>
      </c>
      <c r="AN21" s="17" t="str">
        <f t="shared" ca="1" si="15"/>
        <v/>
      </c>
      <c r="AO21" s="17" t="str">
        <f t="shared" ca="1" si="15"/>
        <v/>
      </c>
      <c r="AP21" s="17" t="str">
        <f t="shared" ca="1" si="15"/>
        <v/>
      </c>
      <c r="AQ21" s="17" t="str">
        <f t="shared" ca="1" si="15"/>
        <v/>
      </c>
      <c r="AR21" s="17" t="str">
        <f t="shared" ca="1" si="15"/>
        <v/>
      </c>
      <c r="AS21" s="17" t="str">
        <f t="shared" ca="1" si="15"/>
        <v/>
      </c>
      <c r="AT21" s="17" t="str">
        <f t="shared" ca="1" si="15"/>
        <v/>
      </c>
      <c r="AU21" s="17" t="str">
        <f t="shared" ca="1" si="15"/>
        <v/>
      </c>
      <c r="AV21" s="17" t="str">
        <f t="shared" ca="1" si="15"/>
        <v/>
      </c>
      <c r="AW21" s="17" t="str">
        <f t="shared" ca="1" si="15"/>
        <v/>
      </c>
      <c r="AX21" s="17" t="str">
        <f t="shared" ca="1" si="15"/>
        <v/>
      </c>
      <c r="AY21" s="17" t="str">
        <f t="shared" ca="1" si="15"/>
        <v/>
      </c>
      <c r="AZ21" s="17" t="str">
        <f t="shared" ca="1" si="15"/>
        <v/>
      </c>
      <c r="BA21" s="17" t="str">
        <f t="shared" ca="1" si="15"/>
        <v/>
      </c>
      <c r="BB21" s="17" t="str">
        <f t="shared" ca="1" si="15"/>
        <v/>
      </c>
      <c r="BC21" s="17" t="str">
        <f t="shared" ca="1" si="15"/>
        <v/>
      </c>
      <c r="BD21" s="17" t="str">
        <f t="shared" ca="1" si="15"/>
        <v/>
      </c>
      <c r="BE21" s="17" t="str">
        <f t="shared" ca="1" si="15"/>
        <v/>
      </c>
      <c r="BF21" s="17" t="str">
        <f t="shared" ca="1" si="15"/>
        <v/>
      </c>
      <c r="BG21" s="17" t="str">
        <f t="shared" ca="1" si="15"/>
        <v/>
      </c>
      <c r="BH21" s="17" t="str">
        <f t="shared" ca="1" si="15"/>
        <v/>
      </c>
      <c r="BI21" s="17" t="str">
        <f t="shared" ca="1" si="15"/>
        <v/>
      </c>
      <c r="BJ21" s="17" t="str">
        <f t="shared" ca="1" si="15"/>
        <v/>
      </c>
      <c r="BK21" s="17" t="str">
        <f t="shared" ca="1" si="15"/>
        <v/>
      </c>
      <c r="BL21" s="17" t="str">
        <f t="shared" ca="1" si="15"/>
        <v/>
      </c>
      <c r="BM21" s="17" t="str">
        <f t="shared" ca="1" si="15"/>
        <v/>
      </c>
      <c r="BN21" s="17" t="str">
        <f t="shared" ca="1" si="15"/>
        <v/>
      </c>
      <c r="BO21" s="17" t="str">
        <f t="shared" ca="1" si="15"/>
        <v/>
      </c>
      <c r="BP21" s="17" t="str">
        <f t="shared" ca="1" si="15"/>
        <v/>
      </c>
      <c r="BQ21" s="17" t="str">
        <f t="shared" ca="1" si="13"/>
        <v/>
      </c>
      <c r="BR21" s="17" t="str">
        <f t="shared" ca="1" si="13"/>
        <v/>
      </c>
      <c r="BS21" s="17" t="str">
        <f t="shared" ca="1" si="13"/>
        <v/>
      </c>
      <c r="BT21" s="17" t="str">
        <f t="shared" ca="1" si="13"/>
        <v/>
      </c>
      <c r="BU21" s="17" t="str">
        <f t="shared" ca="1" si="13"/>
        <v/>
      </c>
      <c r="BV21" s="17" t="str">
        <f t="shared" ca="1" si="13"/>
        <v/>
      </c>
      <c r="BW21" s="17" t="str">
        <f t="shared" ca="1" si="13"/>
        <v/>
      </c>
      <c r="BX21" s="17" t="str">
        <f t="shared" ca="1" si="13"/>
        <v/>
      </c>
      <c r="BY21" s="17" t="str">
        <f t="shared" ca="1" si="13"/>
        <v/>
      </c>
      <c r="BZ21" s="17" t="str">
        <f t="shared" ca="1" si="13"/>
        <v/>
      </c>
      <c r="CA21" s="17" t="str">
        <f t="shared" ca="1" si="13"/>
        <v/>
      </c>
      <c r="CB21" s="17" t="str">
        <f t="shared" ca="1" si="13"/>
        <v/>
      </c>
      <c r="CC21" s="17" t="str">
        <f t="shared" ca="1" si="13"/>
        <v/>
      </c>
      <c r="CD21" s="17" t="str">
        <f t="shared" ca="1" si="13"/>
        <v/>
      </c>
      <c r="CE21" s="17" t="str">
        <f t="shared" ca="1" si="13"/>
        <v/>
      </c>
      <c r="CF21" s="17" t="str">
        <f t="shared" ca="1" si="13"/>
        <v/>
      </c>
      <c r="CG21" s="17" t="str">
        <f t="shared" ca="1" si="13"/>
        <v/>
      </c>
      <c r="CH21" s="17" t="str">
        <f t="shared" ca="1" si="13"/>
        <v/>
      </c>
      <c r="CI21" s="17" t="str">
        <f t="shared" ca="1" si="13"/>
        <v/>
      </c>
      <c r="CJ21" s="17" t="str">
        <f t="shared" ca="1" si="13"/>
        <v/>
      </c>
      <c r="CK21" s="17" t="str">
        <f t="shared" ca="1" si="13"/>
        <v/>
      </c>
      <c r="CL21" s="17" t="str">
        <f t="shared" ca="1" si="13"/>
        <v/>
      </c>
      <c r="CM21" s="17" t="str">
        <f t="shared" ca="1" si="13"/>
        <v/>
      </c>
      <c r="CN21" s="17" t="str">
        <f t="shared" ca="1" si="13"/>
        <v/>
      </c>
      <c r="CO21" s="17" t="str">
        <f t="shared" ca="1" si="13"/>
        <v/>
      </c>
      <c r="CP21" s="17" t="str">
        <f t="shared" ca="1" si="13"/>
        <v/>
      </c>
      <c r="CQ21" s="17" t="str">
        <f t="shared" ca="1" si="13"/>
        <v/>
      </c>
      <c r="CR21" s="17" t="str">
        <f t="shared" ca="1" si="13"/>
        <v/>
      </c>
      <c r="CS21" s="17" t="str">
        <f t="shared" ca="1" si="13"/>
        <v/>
      </c>
      <c r="CT21" s="17" t="str">
        <f t="shared" ca="1" si="13"/>
        <v/>
      </c>
      <c r="CU21" s="17" t="str">
        <f t="shared" ca="1" si="13"/>
        <v/>
      </c>
      <c r="CV21" s="17" t="str">
        <f t="shared" ca="1" si="13"/>
        <v/>
      </c>
      <c r="CW21" s="17" t="str">
        <f t="shared" ca="1" si="13"/>
        <v/>
      </c>
      <c r="CX21" s="17" t="str">
        <f t="shared" ca="1" si="13"/>
        <v/>
      </c>
      <c r="CY21" s="17" t="str">
        <f t="shared" ca="1" si="13"/>
        <v/>
      </c>
    </row>
    <row r="22" spans="1:103" s="9" customFormat="1" outlineLevel="1">
      <c r="A22" s="7" t="s">
        <v>9</v>
      </c>
      <c r="B22" s="7" t="s">
        <v>40</v>
      </c>
      <c r="C22" s="17">
        <f ca="1">COUNTIFS(INDIRECT("'"&amp;C$16&amp;"'!$A$2:$A$1000"),$A22)</f>
        <v>98</v>
      </c>
      <c r="D22" s="17">
        <f ca="1">IF(D$16&lt;&gt;"",COUNTIFS(INDIRECT("'"&amp;D$16&amp;"'!$A$2:$A$1000"),$A22),"")</f>
        <v>98</v>
      </c>
      <c r="E22" s="17" t="str">
        <f t="shared" ref="E22:BP22" ca="1" si="16">IF(E$16&lt;&gt;"",COUNTIFS(INDIRECT("'"&amp;E$16&amp;"'!$A$2:$A$1000"),$A22),"")</f>
        <v/>
      </c>
      <c r="F22" s="17" t="str">
        <f t="shared" ca="1" si="16"/>
        <v/>
      </c>
      <c r="G22" s="17" t="str">
        <f t="shared" ca="1" si="16"/>
        <v/>
      </c>
      <c r="H22" s="17" t="str">
        <f t="shared" ca="1" si="16"/>
        <v/>
      </c>
      <c r="I22" s="17" t="str">
        <f t="shared" ca="1" si="16"/>
        <v/>
      </c>
      <c r="J22" s="17" t="str">
        <f t="shared" ca="1" si="16"/>
        <v/>
      </c>
      <c r="K22" s="17" t="str">
        <f t="shared" ca="1" si="16"/>
        <v/>
      </c>
      <c r="L22" s="17" t="str">
        <f t="shared" ca="1" si="16"/>
        <v/>
      </c>
      <c r="M22" s="17" t="str">
        <f t="shared" ca="1" si="16"/>
        <v/>
      </c>
      <c r="N22" s="17" t="str">
        <f t="shared" ca="1" si="16"/>
        <v/>
      </c>
      <c r="O22" s="17" t="str">
        <f t="shared" ca="1" si="16"/>
        <v/>
      </c>
      <c r="P22" s="17" t="str">
        <f t="shared" ca="1" si="16"/>
        <v/>
      </c>
      <c r="Q22" s="17" t="str">
        <f t="shared" ca="1" si="16"/>
        <v/>
      </c>
      <c r="R22" s="17" t="str">
        <f t="shared" ca="1" si="16"/>
        <v/>
      </c>
      <c r="S22" s="17" t="str">
        <f t="shared" ca="1" si="16"/>
        <v/>
      </c>
      <c r="T22" s="17" t="str">
        <f t="shared" ca="1" si="16"/>
        <v/>
      </c>
      <c r="U22" s="17" t="str">
        <f t="shared" ca="1" si="16"/>
        <v/>
      </c>
      <c r="V22" s="17" t="str">
        <f t="shared" ca="1" si="16"/>
        <v/>
      </c>
      <c r="W22" s="17" t="str">
        <f t="shared" ca="1" si="16"/>
        <v/>
      </c>
      <c r="X22" s="17" t="str">
        <f t="shared" ca="1" si="16"/>
        <v/>
      </c>
      <c r="Y22" s="17" t="str">
        <f t="shared" ca="1" si="16"/>
        <v/>
      </c>
      <c r="Z22" s="17" t="str">
        <f t="shared" ca="1" si="16"/>
        <v/>
      </c>
      <c r="AA22" s="17" t="str">
        <f t="shared" ca="1" si="16"/>
        <v/>
      </c>
      <c r="AB22" s="17" t="str">
        <f t="shared" ca="1" si="16"/>
        <v/>
      </c>
      <c r="AC22" s="17" t="str">
        <f t="shared" ca="1" si="16"/>
        <v/>
      </c>
      <c r="AD22" s="17" t="str">
        <f t="shared" ca="1" si="16"/>
        <v/>
      </c>
      <c r="AE22" s="17" t="str">
        <f t="shared" ca="1" si="16"/>
        <v/>
      </c>
      <c r="AF22" s="17" t="str">
        <f t="shared" ca="1" si="16"/>
        <v/>
      </c>
      <c r="AG22" s="17" t="str">
        <f t="shared" ca="1" si="16"/>
        <v/>
      </c>
      <c r="AH22" s="17" t="str">
        <f t="shared" ca="1" si="16"/>
        <v/>
      </c>
      <c r="AI22" s="17" t="str">
        <f t="shared" ca="1" si="16"/>
        <v/>
      </c>
      <c r="AJ22" s="17" t="str">
        <f t="shared" ca="1" si="16"/>
        <v/>
      </c>
      <c r="AK22" s="17" t="str">
        <f t="shared" ca="1" si="16"/>
        <v/>
      </c>
      <c r="AL22" s="17" t="str">
        <f t="shared" ca="1" si="16"/>
        <v/>
      </c>
      <c r="AM22" s="17" t="str">
        <f t="shared" ca="1" si="16"/>
        <v/>
      </c>
      <c r="AN22" s="17" t="str">
        <f t="shared" ca="1" si="16"/>
        <v/>
      </c>
      <c r="AO22" s="42" t="str">
        <f t="shared" ca="1" si="16"/>
        <v/>
      </c>
      <c r="AP22" s="42" t="str">
        <f t="shared" ca="1" si="16"/>
        <v/>
      </c>
      <c r="AQ22" s="17" t="str">
        <f t="shared" ca="1" si="16"/>
        <v/>
      </c>
      <c r="AR22" s="17" t="str">
        <f t="shared" ca="1" si="16"/>
        <v/>
      </c>
      <c r="AS22" s="17" t="str">
        <f t="shared" ca="1" si="16"/>
        <v/>
      </c>
      <c r="AT22" s="17" t="str">
        <f t="shared" ca="1" si="16"/>
        <v/>
      </c>
      <c r="AU22" s="17" t="str">
        <f t="shared" ca="1" si="16"/>
        <v/>
      </c>
      <c r="AV22" s="17" t="str">
        <f t="shared" ca="1" si="16"/>
        <v/>
      </c>
      <c r="AW22" s="17" t="str">
        <f t="shared" ca="1" si="16"/>
        <v/>
      </c>
      <c r="AX22" s="17" t="str">
        <f t="shared" ca="1" si="16"/>
        <v/>
      </c>
      <c r="AY22" s="17" t="str">
        <f t="shared" ca="1" si="16"/>
        <v/>
      </c>
      <c r="AZ22" s="17" t="str">
        <f t="shared" ca="1" si="16"/>
        <v/>
      </c>
      <c r="BA22" s="17" t="str">
        <f t="shared" ca="1" si="16"/>
        <v/>
      </c>
      <c r="BB22" s="17" t="str">
        <f t="shared" ca="1" si="16"/>
        <v/>
      </c>
      <c r="BC22" s="17" t="str">
        <f t="shared" ca="1" si="16"/>
        <v/>
      </c>
      <c r="BD22" s="17" t="str">
        <f t="shared" ca="1" si="16"/>
        <v/>
      </c>
      <c r="BE22" s="17" t="str">
        <f t="shared" ca="1" si="16"/>
        <v/>
      </c>
      <c r="BF22" s="17" t="str">
        <f t="shared" ca="1" si="16"/>
        <v/>
      </c>
      <c r="BG22" s="17" t="str">
        <f t="shared" ca="1" si="16"/>
        <v/>
      </c>
      <c r="BH22" s="17" t="str">
        <f t="shared" ca="1" si="16"/>
        <v/>
      </c>
      <c r="BI22" s="17" t="str">
        <f t="shared" ca="1" si="16"/>
        <v/>
      </c>
      <c r="BJ22" s="17" t="str">
        <f t="shared" ca="1" si="16"/>
        <v/>
      </c>
      <c r="BK22" s="17" t="str">
        <f t="shared" ca="1" si="16"/>
        <v/>
      </c>
      <c r="BL22" s="17" t="str">
        <f t="shared" ca="1" si="16"/>
        <v/>
      </c>
      <c r="BM22" s="17" t="str">
        <f t="shared" ca="1" si="16"/>
        <v/>
      </c>
      <c r="BN22" s="17" t="str">
        <f t="shared" ca="1" si="16"/>
        <v/>
      </c>
      <c r="BO22" s="17" t="str">
        <f t="shared" ca="1" si="16"/>
        <v/>
      </c>
      <c r="BP22" s="17" t="str">
        <f t="shared" ca="1" si="16"/>
        <v/>
      </c>
      <c r="BQ22" s="17" t="str">
        <f t="shared" ref="BQ22:CY22" ca="1" si="17">IF(BQ$16&lt;&gt;"",COUNTIFS(INDIRECT("'"&amp;BQ$16&amp;"'!$A$2:$A$1000"),$A22),"")</f>
        <v/>
      </c>
      <c r="BR22" s="17" t="str">
        <f t="shared" ca="1" si="17"/>
        <v/>
      </c>
      <c r="BS22" s="17" t="str">
        <f t="shared" ca="1" si="17"/>
        <v/>
      </c>
      <c r="BT22" s="17" t="str">
        <f t="shared" ca="1" si="17"/>
        <v/>
      </c>
      <c r="BU22" s="17" t="str">
        <f t="shared" ca="1" si="17"/>
        <v/>
      </c>
      <c r="BV22" s="17" t="str">
        <f t="shared" ca="1" si="17"/>
        <v/>
      </c>
      <c r="BW22" s="17" t="str">
        <f t="shared" ca="1" si="17"/>
        <v/>
      </c>
      <c r="BX22" s="17" t="str">
        <f t="shared" ca="1" si="17"/>
        <v/>
      </c>
      <c r="BY22" s="17" t="str">
        <f t="shared" ca="1" si="17"/>
        <v/>
      </c>
      <c r="BZ22" s="17" t="str">
        <f t="shared" ca="1" si="17"/>
        <v/>
      </c>
      <c r="CA22" s="17" t="str">
        <f t="shared" ca="1" si="17"/>
        <v/>
      </c>
      <c r="CB22" s="17" t="str">
        <f t="shared" ca="1" si="17"/>
        <v/>
      </c>
      <c r="CC22" s="17" t="str">
        <f t="shared" ca="1" si="17"/>
        <v/>
      </c>
      <c r="CD22" s="17" t="str">
        <f t="shared" ca="1" si="17"/>
        <v/>
      </c>
      <c r="CE22" s="17" t="str">
        <f t="shared" ca="1" si="17"/>
        <v/>
      </c>
      <c r="CF22" s="17" t="str">
        <f t="shared" ca="1" si="17"/>
        <v/>
      </c>
      <c r="CG22" s="17" t="str">
        <f t="shared" ca="1" si="17"/>
        <v/>
      </c>
      <c r="CH22" s="17" t="str">
        <f t="shared" ca="1" si="17"/>
        <v/>
      </c>
      <c r="CI22" s="17" t="str">
        <f t="shared" ca="1" si="17"/>
        <v/>
      </c>
      <c r="CJ22" s="17" t="str">
        <f t="shared" ca="1" si="17"/>
        <v/>
      </c>
      <c r="CK22" s="17" t="str">
        <f t="shared" ca="1" si="17"/>
        <v/>
      </c>
      <c r="CL22" s="17" t="str">
        <f t="shared" ca="1" si="17"/>
        <v/>
      </c>
      <c r="CM22" s="17" t="str">
        <f t="shared" ca="1" si="17"/>
        <v/>
      </c>
      <c r="CN22" s="17" t="str">
        <f t="shared" ca="1" si="17"/>
        <v/>
      </c>
      <c r="CO22" s="17" t="str">
        <f t="shared" ca="1" si="17"/>
        <v/>
      </c>
      <c r="CP22" s="17" t="str">
        <f t="shared" ca="1" si="17"/>
        <v/>
      </c>
      <c r="CQ22" s="17" t="str">
        <f t="shared" ca="1" si="17"/>
        <v/>
      </c>
      <c r="CR22" s="17" t="str">
        <f t="shared" ca="1" si="17"/>
        <v/>
      </c>
      <c r="CS22" s="17" t="str">
        <f t="shared" ca="1" si="17"/>
        <v/>
      </c>
      <c r="CT22" s="17" t="str">
        <f t="shared" ca="1" si="17"/>
        <v/>
      </c>
      <c r="CU22" s="17" t="str">
        <f t="shared" ca="1" si="17"/>
        <v/>
      </c>
      <c r="CV22" s="17" t="str">
        <f t="shared" ca="1" si="17"/>
        <v/>
      </c>
      <c r="CW22" s="17" t="str">
        <f t="shared" ca="1" si="17"/>
        <v/>
      </c>
      <c r="CX22" s="17" t="str">
        <f t="shared" ca="1" si="17"/>
        <v/>
      </c>
      <c r="CY22" s="17" t="str">
        <f t="shared" ca="1" si="17"/>
        <v/>
      </c>
    </row>
    <row r="23" spans="1:103" s="9" customFormat="1" outlineLevel="1">
      <c r="A23" s="7" t="s">
        <v>9</v>
      </c>
      <c r="B23" s="7" t="s">
        <v>6</v>
      </c>
      <c r="C23" s="17">
        <f ca="1">COUNTIFS(INDIRECT("'"&amp;C$16&amp;"'!$A$2:$A$1000"),$A23,INDIRECT("'"&amp;C$16&amp;"'!$D$2:$D$1000"),$B23)</f>
        <v>0</v>
      </c>
      <c r="D23" s="17">
        <f ca="1">IF(D$16&lt;&gt;"",COUNTIFS(INDIRECT("'"&amp;D$16&amp;"'!$A$2:$A$1000"),$A23,INDIRECT("'"&amp;D$16&amp;"'!$E$2:$E$1000"),$B23),"")</f>
        <v>0</v>
      </c>
      <c r="E23" s="17" t="str">
        <f t="shared" ref="E23:BP26" ca="1" si="18">IF(E$16&lt;&gt;"",COUNTIFS(INDIRECT("'"&amp;E$16&amp;"'!$A$2:$A$1000"),$A23,INDIRECT("'"&amp;E$16&amp;"'!$E$2:$E$1000"),$B23),"")</f>
        <v/>
      </c>
      <c r="F23" s="17" t="str">
        <f t="shared" ca="1" si="18"/>
        <v/>
      </c>
      <c r="G23" s="17" t="str">
        <f t="shared" ca="1" si="18"/>
        <v/>
      </c>
      <c r="H23" s="17" t="str">
        <f t="shared" ca="1" si="18"/>
        <v/>
      </c>
      <c r="I23" s="17" t="str">
        <f t="shared" ca="1" si="18"/>
        <v/>
      </c>
      <c r="J23" s="17" t="str">
        <f t="shared" ca="1" si="18"/>
        <v/>
      </c>
      <c r="K23" s="17" t="str">
        <f t="shared" ca="1" si="18"/>
        <v/>
      </c>
      <c r="L23" s="17" t="str">
        <f t="shared" ca="1" si="18"/>
        <v/>
      </c>
      <c r="M23" s="17" t="str">
        <f t="shared" ca="1" si="18"/>
        <v/>
      </c>
      <c r="N23" s="17" t="str">
        <f t="shared" ca="1" si="18"/>
        <v/>
      </c>
      <c r="O23" s="17" t="str">
        <f t="shared" ca="1" si="18"/>
        <v/>
      </c>
      <c r="P23" s="17" t="str">
        <f t="shared" ca="1" si="18"/>
        <v/>
      </c>
      <c r="Q23" s="17" t="str">
        <f t="shared" ca="1" si="18"/>
        <v/>
      </c>
      <c r="R23" s="17" t="str">
        <f t="shared" ca="1" si="18"/>
        <v/>
      </c>
      <c r="S23" s="17" t="str">
        <f t="shared" ca="1" si="18"/>
        <v/>
      </c>
      <c r="T23" s="17" t="str">
        <f t="shared" ca="1" si="18"/>
        <v/>
      </c>
      <c r="U23" s="17" t="str">
        <f t="shared" ca="1" si="18"/>
        <v/>
      </c>
      <c r="V23" s="17" t="str">
        <f t="shared" ca="1" si="18"/>
        <v/>
      </c>
      <c r="W23" s="17" t="str">
        <f t="shared" ca="1" si="18"/>
        <v/>
      </c>
      <c r="X23" s="17" t="str">
        <f t="shared" ca="1" si="18"/>
        <v/>
      </c>
      <c r="Y23" s="17" t="str">
        <f t="shared" ca="1" si="18"/>
        <v/>
      </c>
      <c r="Z23" s="17" t="str">
        <f t="shared" ca="1" si="18"/>
        <v/>
      </c>
      <c r="AA23" s="17" t="str">
        <f t="shared" ca="1" si="18"/>
        <v/>
      </c>
      <c r="AB23" s="17" t="str">
        <f t="shared" ca="1" si="18"/>
        <v/>
      </c>
      <c r="AC23" s="17" t="str">
        <f t="shared" ca="1" si="18"/>
        <v/>
      </c>
      <c r="AD23" s="17" t="str">
        <f t="shared" ca="1" si="18"/>
        <v/>
      </c>
      <c r="AE23" s="17" t="str">
        <f t="shared" ca="1" si="18"/>
        <v/>
      </c>
      <c r="AF23" s="17" t="str">
        <f t="shared" ca="1" si="18"/>
        <v/>
      </c>
      <c r="AG23" s="17" t="str">
        <f t="shared" ca="1" si="18"/>
        <v/>
      </c>
      <c r="AH23" s="17" t="str">
        <f t="shared" ca="1" si="18"/>
        <v/>
      </c>
      <c r="AI23" s="17" t="str">
        <f t="shared" ca="1" si="18"/>
        <v/>
      </c>
      <c r="AJ23" s="17" t="str">
        <f t="shared" ca="1" si="18"/>
        <v/>
      </c>
      <c r="AK23" s="17" t="str">
        <f t="shared" ca="1" si="18"/>
        <v/>
      </c>
      <c r="AL23" s="17" t="str">
        <f t="shared" ca="1" si="18"/>
        <v/>
      </c>
      <c r="AM23" s="17" t="str">
        <f t="shared" ca="1" si="18"/>
        <v/>
      </c>
      <c r="AN23" s="17" t="str">
        <f t="shared" ca="1" si="18"/>
        <v/>
      </c>
      <c r="AO23" s="42" t="str">
        <f t="shared" ca="1" si="18"/>
        <v/>
      </c>
      <c r="AP23" s="42" t="str">
        <f t="shared" ca="1" si="18"/>
        <v/>
      </c>
      <c r="AQ23" s="17" t="str">
        <f t="shared" ca="1" si="18"/>
        <v/>
      </c>
      <c r="AR23" s="17" t="str">
        <f t="shared" ca="1" si="18"/>
        <v/>
      </c>
      <c r="AS23" s="17" t="str">
        <f t="shared" ca="1" si="18"/>
        <v/>
      </c>
      <c r="AT23" s="17" t="str">
        <f t="shared" ca="1" si="18"/>
        <v/>
      </c>
      <c r="AU23" s="17" t="str">
        <f t="shared" ca="1" si="18"/>
        <v/>
      </c>
      <c r="AV23" s="17" t="str">
        <f t="shared" ca="1" si="18"/>
        <v/>
      </c>
      <c r="AW23" s="17" t="str">
        <f t="shared" ca="1" si="18"/>
        <v/>
      </c>
      <c r="AX23" s="17" t="str">
        <f t="shared" ca="1" si="18"/>
        <v/>
      </c>
      <c r="AY23" s="17" t="str">
        <f t="shared" ca="1" si="18"/>
        <v/>
      </c>
      <c r="AZ23" s="17" t="str">
        <f t="shared" ca="1" si="18"/>
        <v/>
      </c>
      <c r="BA23" s="17" t="str">
        <f t="shared" ca="1" si="18"/>
        <v/>
      </c>
      <c r="BB23" s="17" t="str">
        <f t="shared" ca="1" si="18"/>
        <v/>
      </c>
      <c r="BC23" s="17" t="str">
        <f t="shared" ca="1" si="18"/>
        <v/>
      </c>
      <c r="BD23" s="17" t="str">
        <f t="shared" ca="1" si="18"/>
        <v/>
      </c>
      <c r="BE23" s="17" t="str">
        <f t="shared" ca="1" si="18"/>
        <v/>
      </c>
      <c r="BF23" s="17" t="str">
        <f t="shared" ca="1" si="18"/>
        <v/>
      </c>
      <c r="BG23" s="17" t="str">
        <f t="shared" ca="1" si="18"/>
        <v/>
      </c>
      <c r="BH23" s="17" t="str">
        <f t="shared" ca="1" si="18"/>
        <v/>
      </c>
      <c r="BI23" s="17" t="str">
        <f t="shared" ca="1" si="18"/>
        <v/>
      </c>
      <c r="BJ23" s="17" t="str">
        <f t="shared" ca="1" si="18"/>
        <v/>
      </c>
      <c r="BK23" s="17" t="str">
        <f t="shared" ca="1" si="18"/>
        <v/>
      </c>
      <c r="BL23" s="17" t="str">
        <f t="shared" ca="1" si="18"/>
        <v/>
      </c>
      <c r="BM23" s="17" t="str">
        <f t="shared" ca="1" si="18"/>
        <v/>
      </c>
      <c r="BN23" s="17" t="str">
        <f t="shared" ca="1" si="18"/>
        <v/>
      </c>
      <c r="BO23" s="17" t="str">
        <f t="shared" ca="1" si="18"/>
        <v/>
      </c>
      <c r="BP23" s="17" t="str">
        <f t="shared" ca="1" si="18"/>
        <v/>
      </c>
      <c r="BQ23" s="17" t="str">
        <f t="shared" ref="BQ23:CY25" ca="1" si="19">IF(BQ$16&lt;&gt;"",COUNTIFS(INDIRECT("'"&amp;BQ$16&amp;"'!$A$2:$A$1000"),$A23,INDIRECT("'"&amp;BQ$16&amp;"'!$E$2:$E$1000"),$B23),"")</f>
        <v/>
      </c>
      <c r="BR23" s="17" t="str">
        <f t="shared" ca="1" si="19"/>
        <v/>
      </c>
      <c r="BS23" s="17" t="str">
        <f t="shared" ca="1" si="19"/>
        <v/>
      </c>
      <c r="BT23" s="17" t="str">
        <f t="shared" ca="1" si="19"/>
        <v/>
      </c>
      <c r="BU23" s="17" t="str">
        <f t="shared" ca="1" si="19"/>
        <v/>
      </c>
      <c r="BV23" s="17" t="str">
        <f t="shared" ca="1" si="19"/>
        <v/>
      </c>
      <c r="BW23" s="17" t="str">
        <f t="shared" ca="1" si="19"/>
        <v/>
      </c>
      <c r="BX23" s="17" t="str">
        <f t="shared" ca="1" si="19"/>
        <v/>
      </c>
      <c r="BY23" s="17" t="str">
        <f t="shared" ca="1" si="19"/>
        <v/>
      </c>
      <c r="BZ23" s="17" t="str">
        <f t="shared" ca="1" si="19"/>
        <v/>
      </c>
      <c r="CA23" s="17" t="str">
        <f t="shared" ca="1" si="19"/>
        <v/>
      </c>
      <c r="CB23" s="17" t="str">
        <f t="shared" ca="1" si="19"/>
        <v/>
      </c>
      <c r="CC23" s="17" t="str">
        <f t="shared" ca="1" si="19"/>
        <v/>
      </c>
      <c r="CD23" s="17" t="str">
        <f t="shared" ca="1" si="19"/>
        <v/>
      </c>
      <c r="CE23" s="17" t="str">
        <f t="shared" ca="1" si="19"/>
        <v/>
      </c>
      <c r="CF23" s="17" t="str">
        <f t="shared" ca="1" si="19"/>
        <v/>
      </c>
      <c r="CG23" s="17" t="str">
        <f t="shared" ca="1" si="19"/>
        <v/>
      </c>
      <c r="CH23" s="17" t="str">
        <f t="shared" ca="1" si="19"/>
        <v/>
      </c>
      <c r="CI23" s="17" t="str">
        <f t="shared" ca="1" si="19"/>
        <v/>
      </c>
      <c r="CJ23" s="17" t="str">
        <f t="shared" ca="1" si="19"/>
        <v/>
      </c>
      <c r="CK23" s="17" t="str">
        <f t="shared" ca="1" si="19"/>
        <v/>
      </c>
      <c r="CL23" s="17" t="str">
        <f t="shared" ca="1" si="19"/>
        <v/>
      </c>
      <c r="CM23" s="17" t="str">
        <f t="shared" ca="1" si="19"/>
        <v/>
      </c>
      <c r="CN23" s="17" t="str">
        <f t="shared" ca="1" si="19"/>
        <v/>
      </c>
      <c r="CO23" s="17" t="str">
        <f t="shared" ca="1" si="19"/>
        <v/>
      </c>
      <c r="CP23" s="17" t="str">
        <f t="shared" ca="1" si="19"/>
        <v/>
      </c>
      <c r="CQ23" s="17" t="str">
        <f t="shared" ca="1" si="19"/>
        <v/>
      </c>
      <c r="CR23" s="17" t="str">
        <f t="shared" ca="1" si="19"/>
        <v/>
      </c>
      <c r="CS23" s="17" t="str">
        <f t="shared" ca="1" si="19"/>
        <v/>
      </c>
      <c r="CT23" s="17" t="str">
        <f t="shared" ca="1" si="19"/>
        <v/>
      </c>
      <c r="CU23" s="17" t="str">
        <f t="shared" ca="1" si="19"/>
        <v/>
      </c>
      <c r="CV23" s="17" t="str">
        <f t="shared" ca="1" si="19"/>
        <v/>
      </c>
      <c r="CW23" s="17" t="str">
        <f t="shared" ca="1" si="19"/>
        <v/>
      </c>
      <c r="CX23" s="17" t="str">
        <f t="shared" ca="1" si="19"/>
        <v/>
      </c>
      <c r="CY23" s="17" t="str">
        <f t="shared" ca="1" si="19"/>
        <v/>
      </c>
    </row>
    <row r="24" spans="1:103" s="9" customFormat="1" outlineLevel="1">
      <c r="A24" s="7" t="s">
        <v>9</v>
      </c>
      <c r="B24" s="7" t="s">
        <v>5</v>
      </c>
      <c r="C24" s="17">
        <f ca="1">COUNTIFS(INDIRECT("'"&amp;C$16&amp;"'!$A$2:$A$1000"),$A24,INDIRECT("'"&amp;C$16&amp;"'!$D$2:$D$1000"),$B24)</f>
        <v>0</v>
      </c>
      <c r="D24" s="17">
        <f ca="1">IF(D$16&lt;&gt;"",COUNTIFS(INDIRECT("'"&amp;D$16&amp;"'!$A$2:$A$1000"),$A24,INDIRECT("'"&amp;D$16&amp;"'!$E$2:$E$1000"),$B24),"")</f>
        <v>0</v>
      </c>
      <c r="E24" s="17" t="str">
        <f t="shared" ca="1" si="18"/>
        <v/>
      </c>
      <c r="F24" s="17" t="str">
        <f t="shared" ca="1" si="18"/>
        <v/>
      </c>
      <c r="G24" s="17" t="str">
        <f t="shared" ca="1" si="18"/>
        <v/>
      </c>
      <c r="H24" s="17" t="str">
        <f t="shared" ca="1" si="18"/>
        <v/>
      </c>
      <c r="I24" s="17" t="str">
        <f t="shared" ca="1" si="18"/>
        <v/>
      </c>
      <c r="J24" s="17" t="str">
        <f t="shared" ca="1" si="18"/>
        <v/>
      </c>
      <c r="K24" s="17" t="str">
        <f t="shared" ca="1" si="18"/>
        <v/>
      </c>
      <c r="L24" s="17" t="str">
        <f t="shared" ca="1" si="18"/>
        <v/>
      </c>
      <c r="M24" s="17" t="str">
        <f t="shared" ca="1" si="18"/>
        <v/>
      </c>
      <c r="N24" s="17" t="str">
        <f t="shared" ca="1" si="18"/>
        <v/>
      </c>
      <c r="O24" s="17" t="str">
        <f t="shared" ca="1" si="18"/>
        <v/>
      </c>
      <c r="P24" s="17" t="str">
        <f t="shared" ca="1" si="18"/>
        <v/>
      </c>
      <c r="Q24" s="17" t="str">
        <f t="shared" ca="1" si="18"/>
        <v/>
      </c>
      <c r="R24" s="17" t="str">
        <f t="shared" ca="1" si="18"/>
        <v/>
      </c>
      <c r="S24" s="17" t="str">
        <f t="shared" ca="1" si="18"/>
        <v/>
      </c>
      <c r="T24" s="17" t="str">
        <f t="shared" ca="1" si="18"/>
        <v/>
      </c>
      <c r="U24" s="17" t="str">
        <f t="shared" ca="1" si="18"/>
        <v/>
      </c>
      <c r="V24" s="17" t="str">
        <f t="shared" ca="1" si="18"/>
        <v/>
      </c>
      <c r="W24" s="17" t="str">
        <f t="shared" ca="1" si="18"/>
        <v/>
      </c>
      <c r="X24" s="17" t="str">
        <f t="shared" ca="1" si="18"/>
        <v/>
      </c>
      <c r="Y24" s="17" t="str">
        <f t="shared" ca="1" si="18"/>
        <v/>
      </c>
      <c r="Z24" s="17" t="str">
        <f t="shared" ca="1" si="18"/>
        <v/>
      </c>
      <c r="AA24" s="17" t="str">
        <f t="shared" ca="1" si="18"/>
        <v/>
      </c>
      <c r="AB24" s="17" t="str">
        <f t="shared" ca="1" si="18"/>
        <v/>
      </c>
      <c r="AC24" s="17" t="str">
        <f t="shared" ca="1" si="18"/>
        <v/>
      </c>
      <c r="AD24" s="17" t="str">
        <f t="shared" ca="1" si="18"/>
        <v/>
      </c>
      <c r="AE24" s="17" t="str">
        <f t="shared" ca="1" si="18"/>
        <v/>
      </c>
      <c r="AF24" s="17" t="str">
        <f t="shared" ca="1" si="18"/>
        <v/>
      </c>
      <c r="AG24" s="17" t="str">
        <f t="shared" ca="1" si="18"/>
        <v/>
      </c>
      <c r="AH24" s="17" t="str">
        <f t="shared" ca="1" si="18"/>
        <v/>
      </c>
      <c r="AI24" s="17" t="str">
        <f t="shared" ca="1" si="18"/>
        <v/>
      </c>
      <c r="AJ24" s="17" t="str">
        <f t="shared" ca="1" si="18"/>
        <v/>
      </c>
      <c r="AK24" s="17" t="str">
        <f t="shared" ca="1" si="18"/>
        <v/>
      </c>
      <c r="AL24" s="17" t="str">
        <f t="shared" ca="1" si="18"/>
        <v/>
      </c>
      <c r="AM24" s="17" t="str">
        <f t="shared" ca="1" si="18"/>
        <v/>
      </c>
      <c r="AN24" s="17" t="str">
        <f t="shared" ca="1" si="18"/>
        <v/>
      </c>
      <c r="AO24" s="42" t="str">
        <f t="shared" ca="1" si="18"/>
        <v/>
      </c>
      <c r="AP24" s="42" t="str">
        <f t="shared" ca="1" si="18"/>
        <v/>
      </c>
      <c r="AQ24" s="17" t="str">
        <f t="shared" ca="1" si="18"/>
        <v/>
      </c>
      <c r="AR24" s="17" t="str">
        <f t="shared" ca="1" si="18"/>
        <v/>
      </c>
      <c r="AS24" s="17" t="str">
        <f t="shared" ca="1" si="18"/>
        <v/>
      </c>
      <c r="AT24" s="17" t="str">
        <f t="shared" ca="1" si="18"/>
        <v/>
      </c>
      <c r="AU24" s="17" t="str">
        <f t="shared" ca="1" si="18"/>
        <v/>
      </c>
      <c r="AV24" s="17" t="str">
        <f t="shared" ca="1" si="18"/>
        <v/>
      </c>
      <c r="AW24" s="17" t="str">
        <f t="shared" ca="1" si="18"/>
        <v/>
      </c>
      <c r="AX24" s="17" t="str">
        <f t="shared" ca="1" si="18"/>
        <v/>
      </c>
      <c r="AY24" s="17" t="str">
        <f t="shared" ca="1" si="18"/>
        <v/>
      </c>
      <c r="AZ24" s="17" t="str">
        <f t="shared" ca="1" si="18"/>
        <v/>
      </c>
      <c r="BA24" s="17" t="str">
        <f t="shared" ca="1" si="18"/>
        <v/>
      </c>
      <c r="BB24" s="17" t="str">
        <f t="shared" ca="1" si="18"/>
        <v/>
      </c>
      <c r="BC24" s="17" t="str">
        <f t="shared" ca="1" si="18"/>
        <v/>
      </c>
      <c r="BD24" s="17" t="str">
        <f t="shared" ca="1" si="18"/>
        <v/>
      </c>
      <c r="BE24" s="17" t="str">
        <f t="shared" ca="1" si="18"/>
        <v/>
      </c>
      <c r="BF24" s="17" t="str">
        <f t="shared" ca="1" si="18"/>
        <v/>
      </c>
      <c r="BG24" s="17" t="str">
        <f t="shared" ca="1" si="18"/>
        <v/>
      </c>
      <c r="BH24" s="17" t="str">
        <f t="shared" ca="1" si="18"/>
        <v/>
      </c>
      <c r="BI24" s="17" t="str">
        <f t="shared" ca="1" si="18"/>
        <v/>
      </c>
      <c r="BJ24" s="17" t="str">
        <f t="shared" ca="1" si="18"/>
        <v/>
      </c>
      <c r="BK24" s="17" t="str">
        <f t="shared" ca="1" si="18"/>
        <v/>
      </c>
      <c r="BL24" s="17" t="str">
        <f t="shared" ca="1" si="18"/>
        <v/>
      </c>
      <c r="BM24" s="17" t="str">
        <f t="shared" ca="1" si="18"/>
        <v/>
      </c>
      <c r="BN24" s="17" t="str">
        <f t="shared" ca="1" si="18"/>
        <v/>
      </c>
      <c r="BO24" s="17" t="str">
        <f t="shared" ca="1" si="18"/>
        <v/>
      </c>
      <c r="BP24" s="17" t="str">
        <f t="shared" ca="1" si="18"/>
        <v/>
      </c>
      <c r="BQ24" s="17" t="str">
        <f t="shared" ca="1" si="19"/>
        <v/>
      </c>
      <c r="BR24" s="17" t="str">
        <f t="shared" ca="1" si="19"/>
        <v/>
      </c>
      <c r="BS24" s="17" t="str">
        <f t="shared" ca="1" si="19"/>
        <v/>
      </c>
      <c r="BT24" s="17" t="str">
        <f t="shared" ca="1" si="19"/>
        <v/>
      </c>
      <c r="BU24" s="17" t="str">
        <f t="shared" ca="1" si="19"/>
        <v/>
      </c>
      <c r="BV24" s="17" t="str">
        <f t="shared" ca="1" si="19"/>
        <v/>
      </c>
      <c r="BW24" s="17" t="str">
        <f t="shared" ca="1" si="19"/>
        <v/>
      </c>
      <c r="BX24" s="17" t="str">
        <f t="shared" ca="1" si="19"/>
        <v/>
      </c>
      <c r="BY24" s="17" t="str">
        <f t="shared" ca="1" si="19"/>
        <v/>
      </c>
      <c r="BZ24" s="17" t="str">
        <f t="shared" ca="1" si="19"/>
        <v/>
      </c>
      <c r="CA24" s="17" t="str">
        <f t="shared" ca="1" si="19"/>
        <v/>
      </c>
      <c r="CB24" s="17" t="str">
        <f t="shared" ca="1" si="19"/>
        <v/>
      </c>
      <c r="CC24" s="17" t="str">
        <f t="shared" ca="1" si="19"/>
        <v/>
      </c>
      <c r="CD24" s="17" t="str">
        <f t="shared" ca="1" si="19"/>
        <v/>
      </c>
      <c r="CE24" s="17" t="str">
        <f t="shared" ca="1" si="19"/>
        <v/>
      </c>
      <c r="CF24" s="17" t="str">
        <f t="shared" ca="1" si="19"/>
        <v/>
      </c>
      <c r="CG24" s="17" t="str">
        <f t="shared" ca="1" si="19"/>
        <v/>
      </c>
      <c r="CH24" s="17" t="str">
        <f t="shared" ca="1" si="19"/>
        <v/>
      </c>
      <c r="CI24" s="17" t="str">
        <f t="shared" ca="1" si="19"/>
        <v/>
      </c>
      <c r="CJ24" s="17" t="str">
        <f t="shared" ca="1" si="19"/>
        <v/>
      </c>
      <c r="CK24" s="17" t="str">
        <f t="shared" ca="1" si="19"/>
        <v/>
      </c>
      <c r="CL24" s="17" t="str">
        <f t="shared" ca="1" si="19"/>
        <v/>
      </c>
      <c r="CM24" s="17" t="str">
        <f t="shared" ca="1" si="19"/>
        <v/>
      </c>
      <c r="CN24" s="17" t="str">
        <f t="shared" ca="1" si="19"/>
        <v/>
      </c>
      <c r="CO24" s="17" t="str">
        <f t="shared" ca="1" si="19"/>
        <v/>
      </c>
      <c r="CP24" s="17" t="str">
        <f t="shared" ca="1" si="19"/>
        <v/>
      </c>
      <c r="CQ24" s="17" t="str">
        <f t="shared" ca="1" si="19"/>
        <v/>
      </c>
      <c r="CR24" s="17" t="str">
        <f t="shared" ca="1" si="19"/>
        <v/>
      </c>
      <c r="CS24" s="17" t="str">
        <f t="shared" ca="1" si="19"/>
        <v/>
      </c>
      <c r="CT24" s="17" t="str">
        <f t="shared" ca="1" si="19"/>
        <v/>
      </c>
      <c r="CU24" s="17" t="str">
        <f t="shared" ca="1" si="19"/>
        <v/>
      </c>
      <c r="CV24" s="17" t="str">
        <f t="shared" ca="1" si="19"/>
        <v/>
      </c>
      <c r="CW24" s="17" t="str">
        <f t="shared" ca="1" si="19"/>
        <v/>
      </c>
      <c r="CX24" s="17" t="str">
        <f t="shared" ca="1" si="19"/>
        <v/>
      </c>
      <c r="CY24" s="17" t="str">
        <f t="shared" ca="1" si="19"/>
        <v/>
      </c>
    </row>
    <row r="25" spans="1:103" s="9" customFormat="1" outlineLevel="1">
      <c r="A25" s="7" t="s">
        <v>9</v>
      </c>
      <c r="B25" s="7" t="s">
        <v>7</v>
      </c>
      <c r="C25" s="17">
        <f ca="1">COUNTIFS(INDIRECT("'"&amp;C$16&amp;"'!$A$2:$A$1000"),$A25,INDIRECT("'"&amp;C$16&amp;"'!$D$2:$D$1000"),$B25)
+COUNTIFS(INDIRECT("'"&amp;C$16&amp;"'!$A$2:$A$1000"),$A25,INDIRECT("'"&amp;C$16&amp;"'!$D$2:$D$1000"),"")</f>
        <v>98</v>
      </c>
      <c r="D25" s="17">
        <f ca="1">IF(D$16&lt;&gt;"",COUNTIFS(INDIRECT("'"&amp;D$16&amp;"'!$A$2:$A$1000"),$A25,INDIRECT("'"&amp;D$16&amp;"'!$E$2:$E$1000"),$B25),"")</f>
        <v>0</v>
      </c>
      <c r="E25" s="17" t="str">
        <f t="shared" ca="1" si="18"/>
        <v/>
      </c>
      <c r="F25" s="17" t="str">
        <f t="shared" ca="1" si="18"/>
        <v/>
      </c>
      <c r="G25" s="17" t="str">
        <f t="shared" ca="1" si="18"/>
        <v/>
      </c>
      <c r="H25" s="17" t="str">
        <f t="shared" ca="1" si="18"/>
        <v/>
      </c>
      <c r="I25" s="17" t="str">
        <f t="shared" ca="1" si="18"/>
        <v/>
      </c>
      <c r="J25" s="17" t="str">
        <f t="shared" ca="1" si="18"/>
        <v/>
      </c>
      <c r="K25" s="17" t="str">
        <f t="shared" ca="1" si="18"/>
        <v/>
      </c>
      <c r="L25" s="17" t="str">
        <f t="shared" ca="1" si="18"/>
        <v/>
      </c>
      <c r="M25" s="17" t="str">
        <f t="shared" ca="1" si="18"/>
        <v/>
      </c>
      <c r="N25" s="17" t="str">
        <f t="shared" ca="1" si="18"/>
        <v/>
      </c>
      <c r="O25" s="17" t="str">
        <f t="shared" ca="1" si="18"/>
        <v/>
      </c>
      <c r="P25" s="17" t="str">
        <f t="shared" ca="1" si="18"/>
        <v/>
      </c>
      <c r="Q25" s="17" t="str">
        <f t="shared" ca="1" si="18"/>
        <v/>
      </c>
      <c r="R25" s="17" t="str">
        <f t="shared" ca="1" si="18"/>
        <v/>
      </c>
      <c r="S25" s="17" t="str">
        <f t="shared" ca="1" si="18"/>
        <v/>
      </c>
      <c r="T25" s="17" t="str">
        <f t="shared" ca="1" si="18"/>
        <v/>
      </c>
      <c r="U25" s="17" t="str">
        <f t="shared" ca="1" si="18"/>
        <v/>
      </c>
      <c r="V25" s="17" t="str">
        <f t="shared" ca="1" si="18"/>
        <v/>
      </c>
      <c r="W25" s="17" t="str">
        <f t="shared" ca="1" si="18"/>
        <v/>
      </c>
      <c r="X25" s="17" t="str">
        <f t="shared" ca="1" si="18"/>
        <v/>
      </c>
      <c r="Y25" s="17" t="str">
        <f t="shared" ca="1" si="18"/>
        <v/>
      </c>
      <c r="Z25" s="17" t="str">
        <f t="shared" ca="1" si="18"/>
        <v/>
      </c>
      <c r="AA25" s="17" t="str">
        <f t="shared" ca="1" si="18"/>
        <v/>
      </c>
      <c r="AB25" s="17" t="str">
        <f t="shared" ca="1" si="18"/>
        <v/>
      </c>
      <c r="AC25" s="17" t="str">
        <f t="shared" ca="1" si="18"/>
        <v/>
      </c>
      <c r="AD25" s="17" t="str">
        <f t="shared" ca="1" si="18"/>
        <v/>
      </c>
      <c r="AE25" s="17" t="str">
        <f t="shared" ca="1" si="18"/>
        <v/>
      </c>
      <c r="AF25" s="17" t="str">
        <f t="shared" ca="1" si="18"/>
        <v/>
      </c>
      <c r="AG25" s="17" t="str">
        <f t="shared" ca="1" si="18"/>
        <v/>
      </c>
      <c r="AH25" s="17" t="str">
        <f t="shared" ca="1" si="18"/>
        <v/>
      </c>
      <c r="AI25" s="17" t="str">
        <f t="shared" ca="1" si="18"/>
        <v/>
      </c>
      <c r="AJ25" s="17" t="str">
        <f t="shared" ca="1" si="18"/>
        <v/>
      </c>
      <c r="AK25" s="17" t="str">
        <f t="shared" ca="1" si="18"/>
        <v/>
      </c>
      <c r="AL25" s="17" t="str">
        <f t="shared" ca="1" si="18"/>
        <v/>
      </c>
      <c r="AM25" s="17" t="str">
        <f t="shared" ca="1" si="18"/>
        <v/>
      </c>
      <c r="AN25" s="17" t="str">
        <f t="shared" ca="1" si="18"/>
        <v/>
      </c>
      <c r="AO25" s="42" t="str">
        <f t="shared" ca="1" si="18"/>
        <v/>
      </c>
      <c r="AP25" s="42" t="str">
        <f t="shared" ca="1" si="18"/>
        <v/>
      </c>
      <c r="AQ25" s="17" t="str">
        <f t="shared" ca="1" si="18"/>
        <v/>
      </c>
      <c r="AR25" s="17" t="str">
        <f t="shared" ca="1" si="18"/>
        <v/>
      </c>
      <c r="AS25" s="17" t="str">
        <f t="shared" ca="1" si="18"/>
        <v/>
      </c>
      <c r="AT25" s="17" t="str">
        <f t="shared" ca="1" si="18"/>
        <v/>
      </c>
      <c r="AU25" s="17" t="str">
        <f t="shared" ca="1" si="18"/>
        <v/>
      </c>
      <c r="AV25" s="17" t="str">
        <f t="shared" ca="1" si="18"/>
        <v/>
      </c>
      <c r="AW25" s="17" t="str">
        <f t="shared" ca="1" si="18"/>
        <v/>
      </c>
      <c r="AX25" s="17" t="str">
        <f t="shared" ca="1" si="18"/>
        <v/>
      </c>
      <c r="AY25" s="17" t="str">
        <f t="shared" ca="1" si="18"/>
        <v/>
      </c>
      <c r="AZ25" s="17" t="str">
        <f t="shared" ca="1" si="18"/>
        <v/>
      </c>
      <c r="BA25" s="17" t="str">
        <f t="shared" ca="1" si="18"/>
        <v/>
      </c>
      <c r="BB25" s="17" t="str">
        <f t="shared" ca="1" si="18"/>
        <v/>
      </c>
      <c r="BC25" s="17" t="str">
        <f t="shared" ca="1" si="18"/>
        <v/>
      </c>
      <c r="BD25" s="17" t="str">
        <f t="shared" ca="1" si="18"/>
        <v/>
      </c>
      <c r="BE25" s="17" t="str">
        <f t="shared" ca="1" si="18"/>
        <v/>
      </c>
      <c r="BF25" s="17" t="str">
        <f t="shared" ca="1" si="18"/>
        <v/>
      </c>
      <c r="BG25" s="17" t="str">
        <f t="shared" ca="1" si="18"/>
        <v/>
      </c>
      <c r="BH25" s="17" t="str">
        <f t="shared" ca="1" si="18"/>
        <v/>
      </c>
      <c r="BI25" s="17" t="str">
        <f t="shared" ca="1" si="18"/>
        <v/>
      </c>
      <c r="BJ25" s="17" t="str">
        <f t="shared" ca="1" si="18"/>
        <v/>
      </c>
      <c r="BK25" s="17" t="str">
        <f t="shared" ca="1" si="18"/>
        <v/>
      </c>
      <c r="BL25" s="17" t="str">
        <f t="shared" ca="1" si="18"/>
        <v/>
      </c>
      <c r="BM25" s="17" t="str">
        <f t="shared" ca="1" si="18"/>
        <v/>
      </c>
      <c r="BN25" s="17" t="str">
        <f t="shared" ca="1" si="18"/>
        <v/>
      </c>
      <c r="BO25" s="17" t="str">
        <f t="shared" ca="1" si="18"/>
        <v/>
      </c>
      <c r="BP25" s="17" t="str">
        <f t="shared" ca="1" si="18"/>
        <v/>
      </c>
      <c r="BQ25" s="17" t="str">
        <f t="shared" ca="1" si="19"/>
        <v/>
      </c>
      <c r="BR25" s="17" t="str">
        <f t="shared" ca="1" si="19"/>
        <v/>
      </c>
      <c r="BS25" s="17" t="str">
        <f t="shared" ca="1" si="19"/>
        <v/>
      </c>
      <c r="BT25" s="17" t="str">
        <f t="shared" ca="1" si="19"/>
        <v/>
      </c>
      <c r="BU25" s="17" t="str">
        <f t="shared" ca="1" si="19"/>
        <v/>
      </c>
      <c r="BV25" s="17" t="str">
        <f t="shared" ca="1" si="19"/>
        <v/>
      </c>
      <c r="BW25" s="17" t="str">
        <f t="shared" ca="1" si="19"/>
        <v/>
      </c>
      <c r="BX25" s="17" t="str">
        <f t="shared" ca="1" si="19"/>
        <v/>
      </c>
      <c r="BY25" s="17" t="str">
        <f t="shared" ca="1" si="19"/>
        <v/>
      </c>
      <c r="BZ25" s="17" t="str">
        <f t="shared" ca="1" si="19"/>
        <v/>
      </c>
      <c r="CA25" s="17" t="str">
        <f t="shared" ca="1" si="19"/>
        <v/>
      </c>
      <c r="CB25" s="17" t="str">
        <f t="shared" ca="1" si="19"/>
        <v/>
      </c>
      <c r="CC25" s="17" t="str">
        <f t="shared" ca="1" si="19"/>
        <v/>
      </c>
      <c r="CD25" s="17" t="str">
        <f t="shared" ca="1" si="19"/>
        <v/>
      </c>
      <c r="CE25" s="17" t="str">
        <f t="shared" ca="1" si="19"/>
        <v/>
      </c>
      <c r="CF25" s="17" t="str">
        <f t="shared" ca="1" si="19"/>
        <v/>
      </c>
      <c r="CG25" s="17" t="str">
        <f t="shared" ca="1" si="19"/>
        <v/>
      </c>
      <c r="CH25" s="17" t="str">
        <f t="shared" ca="1" si="19"/>
        <v/>
      </c>
      <c r="CI25" s="17" t="str">
        <f t="shared" ca="1" si="19"/>
        <v/>
      </c>
      <c r="CJ25" s="17" t="str">
        <f t="shared" ca="1" si="19"/>
        <v/>
      </c>
      <c r="CK25" s="17" t="str">
        <f t="shared" ca="1" si="19"/>
        <v/>
      </c>
      <c r="CL25" s="17" t="str">
        <f t="shared" ca="1" si="19"/>
        <v/>
      </c>
      <c r="CM25" s="17" t="str">
        <f t="shared" ca="1" si="19"/>
        <v/>
      </c>
      <c r="CN25" s="17" t="str">
        <f t="shared" ca="1" si="19"/>
        <v/>
      </c>
      <c r="CO25" s="17" t="str">
        <f t="shared" ca="1" si="19"/>
        <v/>
      </c>
      <c r="CP25" s="17" t="str">
        <f t="shared" ca="1" si="19"/>
        <v/>
      </c>
      <c r="CQ25" s="17" t="str">
        <f t="shared" ca="1" si="19"/>
        <v/>
      </c>
      <c r="CR25" s="17" t="str">
        <f t="shared" ca="1" si="19"/>
        <v/>
      </c>
      <c r="CS25" s="17" t="str">
        <f t="shared" ca="1" si="19"/>
        <v/>
      </c>
      <c r="CT25" s="17" t="str">
        <f t="shared" ca="1" si="19"/>
        <v/>
      </c>
      <c r="CU25" s="17" t="str">
        <f t="shared" ca="1" si="19"/>
        <v/>
      </c>
      <c r="CV25" s="17" t="str">
        <f t="shared" ca="1" si="19"/>
        <v/>
      </c>
      <c r="CW25" s="17" t="str">
        <f t="shared" ca="1" si="19"/>
        <v/>
      </c>
      <c r="CX25" s="17" t="str">
        <f t="shared" ca="1" si="19"/>
        <v/>
      </c>
      <c r="CY25" s="17" t="str">
        <f t="shared" ca="1" si="19"/>
        <v/>
      </c>
    </row>
    <row r="26" spans="1:103" s="9" customFormat="1" outlineLevel="1">
      <c r="A26" s="7" t="s">
        <v>9</v>
      </c>
      <c r="B26" s="7" t="s">
        <v>13</v>
      </c>
      <c r="C26" s="17">
        <f ca="1">COUNTIFS(INDIRECT("'"&amp;C$16&amp;"'!$A$2:$A$1000"),$A26,INDIRECT("'"&amp;C$16&amp;"'!$D$2:$D$1000"),$B26)</f>
        <v>0</v>
      </c>
      <c r="D26" s="17">
        <f ca="1">IF(D$16&lt;&gt;"",COUNTIFS(INDIRECT("'"&amp;D$16&amp;"'!$A$2:$A$1000"),$A26,INDIRECT("'"&amp;D$16&amp;"'!$E$2:$E$1000"),$B26),"")</f>
        <v>0</v>
      </c>
      <c r="E26" s="17" t="str">
        <f t="shared" ca="1" si="18"/>
        <v/>
      </c>
      <c r="F26" s="17" t="str">
        <f t="shared" ca="1" si="18"/>
        <v/>
      </c>
      <c r="G26" s="17" t="str">
        <f t="shared" ca="1" si="18"/>
        <v/>
      </c>
      <c r="H26" s="17" t="str">
        <f t="shared" ca="1" si="18"/>
        <v/>
      </c>
      <c r="I26" s="17" t="str">
        <f t="shared" ca="1" si="18"/>
        <v/>
      </c>
      <c r="J26" s="17" t="str">
        <f t="shared" ca="1" si="18"/>
        <v/>
      </c>
      <c r="K26" s="17" t="str">
        <f t="shared" ca="1" si="18"/>
        <v/>
      </c>
      <c r="L26" s="17" t="str">
        <f t="shared" ca="1" si="18"/>
        <v/>
      </c>
      <c r="M26" s="17" t="str">
        <f t="shared" ca="1" si="18"/>
        <v/>
      </c>
      <c r="N26" s="17" t="str">
        <f t="shared" ca="1" si="18"/>
        <v/>
      </c>
      <c r="O26" s="17" t="str">
        <f t="shared" ca="1" si="18"/>
        <v/>
      </c>
      <c r="P26" s="17" t="str">
        <f t="shared" ca="1" si="18"/>
        <v/>
      </c>
      <c r="Q26" s="17" t="str">
        <f t="shared" ca="1" si="18"/>
        <v/>
      </c>
      <c r="R26" s="17" t="str">
        <f t="shared" ca="1" si="18"/>
        <v/>
      </c>
      <c r="S26" s="17" t="str">
        <f t="shared" ca="1" si="18"/>
        <v/>
      </c>
      <c r="T26" s="17" t="str">
        <f t="shared" ca="1" si="18"/>
        <v/>
      </c>
      <c r="U26" s="17" t="str">
        <f t="shared" ca="1" si="18"/>
        <v/>
      </c>
      <c r="V26" s="17" t="str">
        <f t="shared" ca="1" si="18"/>
        <v/>
      </c>
      <c r="W26" s="17" t="str">
        <f t="shared" ca="1" si="18"/>
        <v/>
      </c>
      <c r="X26" s="17" t="str">
        <f t="shared" ca="1" si="18"/>
        <v/>
      </c>
      <c r="Y26" s="17" t="str">
        <f t="shared" ca="1" si="18"/>
        <v/>
      </c>
      <c r="Z26" s="17" t="str">
        <f t="shared" ca="1" si="18"/>
        <v/>
      </c>
      <c r="AA26" s="17" t="str">
        <f t="shared" ca="1" si="18"/>
        <v/>
      </c>
      <c r="AB26" s="17" t="str">
        <f t="shared" ca="1" si="18"/>
        <v/>
      </c>
      <c r="AC26" s="17" t="str">
        <f t="shared" ca="1" si="18"/>
        <v/>
      </c>
      <c r="AD26" s="17" t="str">
        <f t="shared" ca="1" si="18"/>
        <v/>
      </c>
      <c r="AE26" s="17" t="str">
        <f t="shared" ca="1" si="18"/>
        <v/>
      </c>
      <c r="AF26" s="17" t="str">
        <f t="shared" ca="1" si="18"/>
        <v/>
      </c>
      <c r="AG26" s="17" t="str">
        <f t="shared" ca="1" si="18"/>
        <v/>
      </c>
      <c r="AH26" s="17" t="str">
        <f t="shared" ca="1" si="18"/>
        <v/>
      </c>
      <c r="AI26" s="17" t="str">
        <f t="shared" ca="1" si="18"/>
        <v/>
      </c>
      <c r="AJ26" s="17" t="str">
        <f t="shared" ca="1" si="18"/>
        <v/>
      </c>
      <c r="AK26" s="17" t="str">
        <f t="shared" ca="1" si="18"/>
        <v/>
      </c>
      <c r="AL26" s="17" t="str">
        <f t="shared" ca="1" si="18"/>
        <v/>
      </c>
      <c r="AM26" s="17" t="str">
        <f t="shared" ca="1" si="18"/>
        <v/>
      </c>
      <c r="AN26" s="17" t="str">
        <f t="shared" ca="1" si="18"/>
        <v/>
      </c>
      <c r="AO26" s="42" t="str">
        <f t="shared" ca="1" si="18"/>
        <v/>
      </c>
      <c r="AP26" s="42" t="str">
        <f t="shared" ca="1" si="18"/>
        <v/>
      </c>
      <c r="AQ26" s="17" t="str">
        <f t="shared" ca="1" si="18"/>
        <v/>
      </c>
      <c r="AR26" s="17" t="str">
        <f t="shared" ca="1" si="18"/>
        <v/>
      </c>
      <c r="AS26" s="17" t="str">
        <f t="shared" ca="1" si="18"/>
        <v/>
      </c>
      <c r="AT26" s="17" t="str">
        <f t="shared" ca="1" si="18"/>
        <v/>
      </c>
      <c r="AU26" s="17" t="str">
        <f t="shared" ca="1" si="18"/>
        <v/>
      </c>
      <c r="AV26" s="17" t="str">
        <f t="shared" ca="1" si="18"/>
        <v/>
      </c>
      <c r="AW26" s="17" t="str">
        <f t="shared" ca="1" si="18"/>
        <v/>
      </c>
      <c r="AX26" s="17" t="str">
        <f t="shared" ca="1" si="18"/>
        <v/>
      </c>
      <c r="AY26" s="17" t="str">
        <f t="shared" ca="1" si="18"/>
        <v/>
      </c>
      <c r="AZ26" s="17" t="str">
        <f t="shared" ca="1" si="18"/>
        <v/>
      </c>
      <c r="BA26" s="17" t="str">
        <f t="shared" ca="1" si="18"/>
        <v/>
      </c>
      <c r="BB26" s="17" t="str">
        <f t="shared" ca="1" si="18"/>
        <v/>
      </c>
      <c r="BC26" s="17" t="str">
        <f t="shared" ca="1" si="18"/>
        <v/>
      </c>
      <c r="BD26" s="17" t="str">
        <f t="shared" ca="1" si="18"/>
        <v/>
      </c>
      <c r="BE26" s="17" t="str">
        <f t="shared" ca="1" si="18"/>
        <v/>
      </c>
      <c r="BF26" s="17" t="str">
        <f t="shared" ca="1" si="18"/>
        <v/>
      </c>
      <c r="BG26" s="17" t="str">
        <f t="shared" ca="1" si="18"/>
        <v/>
      </c>
      <c r="BH26" s="17" t="str">
        <f t="shared" ca="1" si="18"/>
        <v/>
      </c>
      <c r="BI26" s="17" t="str">
        <f t="shared" ca="1" si="18"/>
        <v/>
      </c>
      <c r="BJ26" s="17" t="str">
        <f t="shared" ca="1" si="18"/>
        <v/>
      </c>
      <c r="BK26" s="17" t="str">
        <f t="shared" ca="1" si="18"/>
        <v/>
      </c>
      <c r="BL26" s="17" t="str">
        <f t="shared" ca="1" si="18"/>
        <v/>
      </c>
      <c r="BM26" s="17" t="str">
        <f t="shared" ca="1" si="18"/>
        <v/>
      </c>
      <c r="BN26" s="17" t="str">
        <f t="shared" ca="1" si="18"/>
        <v/>
      </c>
      <c r="BO26" s="17" t="str">
        <f t="shared" ca="1" si="18"/>
        <v/>
      </c>
      <c r="BP26" s="17" t="str">
        <f t="shared" ref="BP26:CY26" ca="1" si="20">IF(BP$16&lt;&gt;"",COUNTIFS(INDIRECT("'"&amp;BP$16&amp;"'!$A$2:$A$1000"),$A26,INDIRECT("'"&amp;BP$16&amp;"'!$E$2:$E$1000"),$B26),"")</f>
        <v/>
      </c>
      <c r="BQ26" s="17" t="str">
        <f t="shared" ca="1" si="20"/>
        <v/>
      </c>
      <c r="BR26" s="17" t="str">
        <f t="shared" ca="1" si="20"/>
        <v/>
      </c>
      <c r="BS26" s="17" t="str">
        <f t="shared" ca="1" si="20"/>
        <v/>
      </c>
      <c r="BT26" s="17" t="str">
        <f t="shared" ca="1" si="20"/>
        <v/>
      </c>
      <c r="BU26" s="17" t="str">
        <f t="shared" ca="1" si="20"/>
        <v/>
      </c>
      <c r="BV26" s="17" t="str">
        <f t="shared" ca="1" si="20"/>
        <v/>
      </c>
      <c r="BW26" s="17" t="str">
        <f t="shared" ca="1" si="20"/>
        <v/>
      </c>
      <c r="BX26" s="17" t="str">
        <f t="shared" ca="1" si="20"/>
        <v/>
      </c>
      <c r="BY26" s="17" t="str">
        <f t="shared" ca="1" si="20"/>
        <v/>
      </c>
      <c r="BZ26" s="17" t="str">
        <f t="shared" ca="1" si="20"/>
        <v/>
      </c>
      <c r="CA26" s="17" t="str">
        <f t="shared" ca="1" si="20"/>
        <v/>
      </c>
      <c r="CB26" s="17" t="str">
        <f t="shared" ca="1" si="20"/>
        <v/>
      </c>
      <c r="CC26" s="17" t="str">
        <f t="shared" ca="1" si="20"/>
        <v/>
      </c>
      <c r="CD26" s="17" t="str">
        <f t="shared" ca="1" si="20"/>
        <v/>
      </c>
      <c r="CE26" s="17" t="str">
        <f t="shared" ca="1" si="20"/>
        <v/>
      </c>
      <c r="CF26" s="17" t="str">
        <f t="shared" ca="1" si="20"/>
        <v/>
      </c>
      <c r="CG26" s="17" t="str">
        <f t="shared" ca="1" si="20"/>
        <v/>
      </c>
      <c r="CH26" s="17" t="str">
        <f t="shared" ca="1" si="20"/>
        <v/>
      </c>
      <c r="CI26" s="17" t="str">
        <f t="shared" ca="1" si="20"/>
        <v/>
      </c>
      <c r="CJ26" s="17" t="str">
        <f t="shared" ca="1" si="20"/>
        <v/>
      </c>
      <c r="CK26" s="17" t="str">
        <f t="shared" ca="1" si="20"/>
        <v/>
      </c>
      <c r="CL26" s="17" t="str">
        <f t="shared" ca="1" si="20"/>
        <v/>
      </c>
      <c r="CM26" s="17" t="str">
        <f t="shared" ca="1" si="20"/>
        <v/>
      </c>
      <c r="CN26" s="17" t="str">
        <f t="shared" ca="1" si="20"/>
        <v/>
      </c>
      <c r="CO26" s="17" t="str">
        <f t="shared" ca="1" si="20"/>
        <v/>
      </c>
      <c r="CP26" s="17" t="str">
        <f t="shared" ca="1" si="20"/>
        <v/>
      </c>
      <c r="CQ26" s="17" t="str">
        <f t="shared" ca="1" si="20"/>
        <v/>
      </c>
      <c r="CR26" s="17" t="str">
        <f t="shared" ca="1" si="20"/>
        <v/>
      </c>
      <c r="CS26" s="17" t="str">
        <f t="shared" ca="1" si="20"/>
        <v/>
      </c>
      <c r="CT26" s="17" t="str">
        <f t="shared" ca="1" si="20"/>
        <v/>
      </c>
      <c r="CU26" s="17" t="str">
        <f t="shared" ca="1" si="20"/>
        <v/>
      </c>
      <c r="CV26" s="17" t="str">
        <f t="shared" ca="1" si="20"/>
        <v/>
      </c>
      <c r="CW26" s="17" t="str">
        <f t="shared" ca="1" si="20"/>
        <v/>
      </c>
      <c r="CX26" s="17" t="str">
        <f t="shared" ca="1" si="20"/>
        <v/>
      </c>
      <c r="CY26" s="17" t="str">
        <f t="shared" ca="1" si="20"/>
        <v/>
      </c>
    </row>
    <row r="27" spans="1:103" s="9" customFormat="1" outlineLevel="1">
      <c r="A27" s="7" t="s">
        <v>10</v>
      </c>
      <c r="B27" s="7" t="s">
        <v>40</v>
      </c>
      <c r="C27" s="17">
        <f ca="1">COUNTIFS(INDIRECT("'"&amp;C$16&amp;"'!$A$2:$A$1000"),$A27)</f>
        <v>8</v>
      </c>
      <c r="D27" s="17">
        <f ca="1">IF(D$16&lt;&gt;"",COUNTIFS(INDIRECT("'"&amp;D$16&amp;"'!$A$2:$A$1000"),$A27),"")</f>
        <v>8</v>
      </c>
      <c r="E27" s="17" t="str">
        <f t="shared" ref="E27:BP27" ca="1" si="21">IF(E$16&lt;&gt;"",COUNTIFS(INDIRECT("'"&amp;E$16&amp;"'!$A$2:$A$1000"),$A27),"")</f>
        <v/>
      </c>
      <c r="F27" s="17" t="str">
        <f t="shared" ca="1" si="21"/>
        <v/>
      </c>
      <c r="G27" s="17" t="str">
        <f t="shared" ca="1" si="21"/>
        <v/>
      </c>
      <c r="H27" s="17" t="str">
        <f t="shared" ca="1" si="21"/>
        <v/>
      </c>
      <c r="I27" s="17" t="str">
        <f t="shared" ca="1" si="21"/>
        <v/>
      </c>
      <c r="J27" s="17" t="str">
        <f t="shared" ca="1" si="21"/>
        <v/>
      </c>
      <c r="K27" s="17" t="str">
        <f t="shared" ca="1" si="21"/>
        <v/>
      </c>
      <c r="L27" s="17" t="str">
        <f t="shared" ca="1" si="21"/>
        <v/>
      </c>
      <c r="M27" s="17" t="str">
        <f t="shared" ca="1" si="21"/>
        <v/>
      </c>
      <c r="N27" s="17" t="str">
        <f t="shared" ca="1" si="21"/>
        <v/>
      </c>
      <c r="O27" s="17" t="str">
        <f t="shared" ca="1" si="21"/>
        <v/>
      </c>
      <c r="P27" s="17" t="str">
        <f t="shared" ca="1" si="21"/>
        <v/>
      </c>
      <c r="Q27" s="17" t="str">
        <f t="shared" ca="1" si="21"/>
        <v/>
      </c>
      <c r="R27" s="17" t="str">
        <f t="shared" ca="1" si="21"/>
        <v/>
      </c>
      <c r="S27" s="17" t="str">
        <f t="shared" ca="1" si="21"/>
        <v/>
      </c>
      <c r="T27" s="17" t="str">
        <f t="shared" ca="1" si="21"/>
        <v/>
      </c>
      <c r="U27" s="17" t="str">
        <f t="shared" ca="1" si="21"/>
        <v/>
      </c>
      <c r="V27" s="17" t="str">
        <f t="shared" ca="1" si="21"/>
        <v/>
      </c>
      <c r="W27" s="17" t="str">
        <f t="shared" ca="1" si="21"/>
        <v/>
      </c>
      <c r="X27" s="17" t="str">
        <f t="shared" ca="1" si="21"/>
        <v/>
      </c>
      <c r="Y27" s="17" t="str">
        <f t="shared" ca="1" si="21"/>
        <v/>
      </c>
      <c r="Z27" s="17" t="str">
        <f t="shared" ca="1" si="21"/>
        <v/>
      </c>
      <c r="AA27" s="17" t="str">
        <f t="shared" ca="1" si="21"/>
        <v/>
      </c>
      <c r="AB27" s="17" t="str">
        <f t="shared" ca="1" si="21"/>
        <v/>
      </c>
      <c r="AC27" s="17" t="str">
        <f t="shared" ca="1" si="21"/>
        <v/>
      </c>
      <c r="AD27" s="17" t="str">
        <f t="shared" ca="1" si="21"/>
        <v/>
      </c>
      <c r="AE27" s="17" t="str">
        <f t="shared" ca="1" si="21"/>
        <v/>
      </c>
      <c r="AF27" s="17" t="str">
        <f t="shared" ca="1" si="21"/>
        <v/>
      </c>
      <c r="AG27" s="17" t="str">
        <f t="shared" ca="1" si="21"/>
        <v/>
      </c>
      <c r="AH27" s="17" t="str">
        <f t="shared" ca="1" si="21"/>
        <v/>
      </c>
      <c r="AI27" s="17" t="str">
        <f t="shared" ca="1" si="21"/>
        <v/>
      </c>
      <c r="AJ27" s="17" t="str">
        <f t="shared" ca="1" si="21"/>
        <v/>
      </c>
      <c r="AK27" s="17" t="str">
        <f t="shared" ca="1" si="21"/>
        <v/>
      </c>
      <c r="AL27" s="17" t="str">
        <f t="shared" ca="1" si="21"/>
        <v/>
      </c>
      <c r="AM27" s="17" t="str">
        <f t="shared" ca="1" si="21"/>
        <v/>
      </c>
      <c r="AN27" s="17" t="str">
        <f t="shared" ca="1" si="21"/>
        <v/>
      </c>
      <c r="AO27" s="42" t="str">
        <f t="shared" ca="1" si="21"/>
        <v/>
      </c>
      <c r="AP27" s="42" t="str">
        <f t="shared" ca="1" si="21"/>
        <v/>
      </c>
      <c r="AQ27" s="17" t="str">
        <f t="shared" ca="1" si="21"/>
        <v/>
      </c>
      <c r="AR27" s="17" t="str">
        <f t="shared" ca="1" si="21"/>
        <v/>
      </c>
      <c r="AS27" s="17" t="str">
        <f t="shared" ca="1" si="21"/>
        <v/>
      </c>
      <c r="AT27" s="17" t="str">
        <f t="shared" ca="1" si="21"/>
        <v/>
      </c>
      <c r="AU27" s="17" t="str">
        <f t="shared" ca="1" si="21"/>
        <v/>
      </c>
      <c r="AV27" s="17" t="str">
        <f t="shared" ca="1" si="21"/>
        <v/>
      </c>
      <c r="AW27" s="17" t="str">
        <f t="shared" ca="1" si="21"/>
        <v/>
      </c>
      <c r="AX27" s="17" t="str">
        <f t="shared" ca="1" si="21"/>
        <v/>
      </c>
      <c r="AY27" s="17" t="str">
        <f t="shared" ca="1" si="21"/>
        <v/>
      </c>
      <c r="AZ27" s="17" t="str">
        <f t="shared" ca="1" si="21"/>
        <v/>
      </c>
      <c r="BA27" s="17" t="str">
        <f t="shared" ca="1" si="21"/>
        <v/>
      </c>
      <c r="BB27" s="17" t="str">
        <f t="shared" ca="1" si="21"/>
        <v/>
      </c>
      <c r="BC27" s="17" t="str">
        <f t="shared" ca="1" si="21"/>
        <v/>
      </c>
      <c r="BD27" s="17" t="str">
        <f t="shared" ca="1" si="21"/>
        <v/>
      </c>
      <c r="BE27" s="17" t="str">
        <f t="shared" ca="1" si="21"/>
        <v/>
      </c>
      <c r="BF27" s="17" t="str">
        <f t="shared" ca="1" si="21"/>
        <v/>
      </c>
      <c r="BG27" s="17" t="str">
        <f t="shared" ca="1" si="21"/>
        <v/>
      </c>
      <c r="BH27" s="17" t="str">
        <f t="shared" ca="1" si="21"/>
        <v/>
      </c>
      <c r="BI27" s="17" t="str">
        <f t="shared" ca="1" si="21"/>
        <v/>
      </c>
      <c r="BJ27" s="17" t="str">
        <f t="shared" ca="1" si="21"/>
        <v/>
      </c>
      <c r="BK27" s="17" t="str">
        <f t="shared" ca="1" si="21"/>
        <v/>
      </c>
      <c r="BL27" s="17" t="str">
        <f t="shared" ca="1" si="21"/>
        <v/>
      </c>
      <c r="BM27" s="17" t="str">
        <f t="shared" ca="1" si="21"/>
        <v/>
      </c>
      <c r="BN27" s="17" t="str">
        <f t="shared" ca="1" si="21"/>
        <v/>
      </c>
      <c r="BO27" s="17" t="str">
        <f t="shared" ca="1" si="21"/>
        <v/>
      </c>
      <c r="BP27" s="17" t="str">
        <f t="shared" ca="1" si="21"/>
        <v/>
      </c>
      <c r="BQ27" s="17" t="str">
        <f t="shared" ref="BQ27:CY27" ca="1" si="22">IF(BQ$16&lt;&gt;"",COUNTIFS(INDIRECT("'"&amp;BQ$16&amp;"'!$A$2:$A$1000"),$A27),"")</f>
        <v/>
      </c>
      <c r="BR27" s="17" t="str">
        <f t="shared" ca="1" si="22"/>
        <v/>
      </c>
      <c r="BS27" s="17" t="str">
        <f t="shared" ca="1" si="22"/>
        <v/>
      </c>
      <c r="BT27" s="17" t="str">
        <f t="shared" ca="1" si="22"/>
        <v/>
      </c>
      <c r="BU27" s="17" t="str">
        <f t="shared" ca="1" si="22"/>
        <v/>
      </c>
      <c r="BV27" s="17" t="str">
        <f t="shared" ca="1" si="22"/>
        <v/>
      </c>
      <c r="BW27" s="17" t="str">
        <f t="shared" ca="1" si="22"/>
        <v/>
      </c>
      <c r="BX27" s="17" t="str">
        <f t="shared" ca="1" si="22"/>
        <v/>
      </c>
      <c r="BY27" s="17" t="str">
        <f t="shared" ca="1" si="22"/>
        <v/>
      </c>
      <c r="BZ27" s="17" t="str">
        <f t="shared" ca="1" si="22"/>
        <v/>
      </c>
      <c r="CA27" s="17" t="str">
        <f t="shared" ca="1" si="22"/>
        <v/>
      </c>
      <c r="CB27" s="17" t="str">
        <f t="shared" ca="1" si="22"/>
        <v/>
      </c>
      <c r="CC27" s="17" t="str">
        <f t="shared" ca="1" si="22"/>
        <v/>
      </c>
      <c r="CD27" s="17" t="str">
        <f t="shared" ca="1" si="22"/>
        <v/>
      </c>
      <c r="CE27" s="17" t="str">
        <f t="shared" ca="1" si="22"/>
        <v/>
      </c>
      <c r="CF27" s="17" t="str">
        <f t="shared" ca="1" si="22"/>
        <v/>
      </c>
      <c r="CG27" s="17" t="str">
        <f t="shared" ca="1" si="22"/>
        <v/>
      </c>
      <c r="CH27" s="17" t="str">
        <f t="shared" ca="1" si="22"/>
        <v/>
      </c>
      <c r="CI27" s="17" t="str">
        <f t="shared" ca="1" si="22"/>
        <v/>
      </c>
      <c r="CJ27" s="17" t="str">
        <f t="shared" ca="1" si="22"/>
        <v/>
      </c>
      <c r="CK27" s="17" t="str">
        <f t="shared" ca="1" si="22"/>
        <v/>
      </c>
      <c r="CL27" s="17" t="str">
        <f t="shared" ca="1" si="22"/>
        <v/>
      </c>
      <c r="CM27" s="17" t="str">
        <f t="shared" ca="1" si="22"/>
        <v/>
      </c>
      <c r="CN27" s="17" t="str">
        <f t="shared" ca="1" si="22"/>
        <v/>
      </c>
      <c r="CO27" s="17" t="str">
        <f t="shared" ca="1" si="22"/>
        <v/>
      </c>
      <c r="CP27" s="17" t="str">
        <f t="shared" ca="1" si="22"/>
        <v/>
      </c>
      <c r="CQ27" s="17" t="str">
        <f t="shared" ca="1" si="22"/>
        <v/>
      </c>
      <c r="CR27" s="17" t="str">
        <f t="shared" ca="1" si="22"/>
        <v/>
      </c>
      <c r="CS27" s="17" t="str">
        <f t="shared" ca="1" si="22"/>
        <v/>
      </c>
      <c r="CT27" s="17" t="str">
        <f t="shared" ca="1" si="22"/>
        <v/>
      </c>
      <c r="CU27" s="17" t="str">
        <f t="shared" ca="1" si="22"/>
        <v/>
      </c>
      <c r="CV27" s="17" t="str">
        <f t="shared" ca="1" si="22"/>
        <v/>
      </c>
      <c r="CW27" s="17" t="str">
        <f t="shared" ca="1" si="22"/>
        <v/>
      </c>
      <c r="CX27" s="17" t="str">
        <f t="shared" ca="1" si="22"/>
        <v/>
      </c>
      <c r="CY27" s="17" t="str">
        <f t="shared" ca="1" si="22"/>
        <v/>
      </c>
    </row>
    <row r="28" spans="1:103" s="9" customFormat="1" outlineLevel="1">
      <c r="A28" s="7" t="s">
        <v>10</v>
      </c>
      <c r="B28" s="7" t="s">
        <v>6</v>
      </c>
      <c r="C28" s="17">
        <f ca="1">COUNTIFS(INDIRECT("'"&amp;C$16&amp;"'!$A$2:$A$1000"),$A28,INDIRECT("'"&amp;C$16&amp;"'!$D$2:$D$1000"),$B28)</f>
        <v>0</v>
      </c>
      <c r="D28" s="17">
        <f ca="1">IF(D$16&lt;&gt;"",COUNTIFS(INDIRECT("'"&amp;D$16&amp;"'!$A$2:$A$1000"),$A28,INDIRECT("'"&amp;D$16&amp;"'!$E$2:$E$1000"),$B28),"")</f>
        <v>0</v>
      </c>
      <c r="E28" s="17" t="str">
        <f t="shared" ref="E28:BP31" ca="1" si="23">IF(E$16&lt;&gt;"",COUNTIFS(INDIRECT("'"&amp;E$16&amp;"'!$A$2:$A$1000"),$A28,INDIRECT("'"&amp;E$16&amp;"'!$E$2:$E$1000"),$B28),"")</f>
        <v/>
      </c>
      <c r="F28" s="17" t="str">
        <f t="shared" ca="1" si="23"/>
        <v/>
      </c>
      <c r="G28" s="17" t="str">
        <f t="shared" ca="1" si="23"/>
        <v/>
      </c>
      <c r="H28" s="17" t="str">
        <f t="shared" ca="1" si="23"/>
        <v/>
      </c>
      <c r="I28" s="17" t="str">
        <f t="shared" ca="1" si="23"/>
        <v/>
      </c>
      <c r="J28" s="17" t="str">
        <f t="shared" ca="1" si="23"/>
        <v/>
      </c>
      <c r="K28" s="17" t="str">
        <f t="shared" ca="1" si="23"/>
        <v/>
      </c>
      <c r="L28" s="17" t="str">
        <f t="shared" ca="1" si="23"/>
        <v/>
      </c>
      <c r="M28" s="17" t="str">
        <f t="shared" ca="1" si="23"/>
        <v/>
      </c>
      <c r="N28" s="17" t="str">
        <f t="shared" ca="1" si="23"/>
        <v/>
      </c>
      <c r="O28" s="17" t="str">
        <f t="shared" ca="1" si="23"/>
        <v/>
      </c>
      <c r="P28" s="17" t="str">
        <f t="shared" ca="1" si="23"/>
        <v/>
      </c>
      <c r="Q28" s="17" t="str">
        <f t="shared" ca="1" si="23"/>
        <v/>
      </c>
      <c r="R28" s="17" t="str">
        <f t="shared" ca="1" si="23"/>
        <v/>
      </c>
      <c r="S28" s="17" t="str">
        <f t="shared" ca="1" si="23"/>
        <v/>
      </c>
      <c r="T28" s="17" t="str">
        <f t="shared" ca="1" si="23"/>
        <v/>
      </c>
      <c r="U28" s="17" t="str">
        <f t="shared" ca="1" si="23"/>
        <v/>
      </c>
      <c r="V28" s="17" t="str">
        <f t="shared" ca="1" si="23"/>
        <v/>
      </c>
      <c r="W28" s="17" t="str">
        <f t="shared" ca="1" si="23"/>
        <v/>
      </c>
      <c r="X28" s="17" t="str">
        <f t="shared" ca="1" si="23"/>
        <v/>
      </c>
      <c r="Y28" s="17" t="str">
        <f t="shared" ca="1" si="23"/>
        <v/>
      </c>
      <c r="Z28" s="17" t="str">
        <f t="shared" ca="1" si="23"/>
        <v/>
      </c>
      <c r="AA28" s="17" t="str">
        <f t="shared" ca="1" si="23"/>
        <v/>
      </c>
      <c r="AB28" s="17" t="str">
        <f t="shared" ca="1" si="23"/>
        <v/>
      </c>
      <c r="AC28" s="17" t="str">
        <f t="shared" ca="1" si="23"/>
        <v/>
      </c>
      <c r="AD28" s="17" t="str">
        <f t="shared" ca="1" si="23"/>
        <v/>
      </c>
      <c r="AE28" s="17" t="str">
        <f t="shared" ca="1" si="23"/>
        <v/>
      </c>
      <c r="AF28" s="17" t="str">
        <f t="shared" ca="1" si="23"/>
        <v/>
      </c>
      <c r="AG28" s="17" t="str">
        <f t="shared" ca="1" si="23"/>
        <v/>
      </c>
      <c r="AH28" s="17" t="str">
        <f t="shared" ca="1" si="23"/>
        <v/>
      </c>
      <c r="AI28" s="17" t="str">
        <f t="shared" ca="1" si="23"/>
        <v/>
      </c>
      <c r="AJ28" s="17" t="str">
        <f t="shared" ca="1" si="23"/>
        <v/>
      </c>
      <c r="AK28" s="17" t="str">
        <f t="shared" ca="1" si="23"/>
        <v/>
      </c>
      <c r="AL28" s="17" t="str">
        <f t="shared" ca="1" si="23"/>
        <v/>
      </c>
      <c r="AM28" s="17" t="str">
        <f t="shared" ca="1" si="23"/>
        <v/>
      </c>
      <c r="AN28" s="17" t="str">
        <f t="shared" ca="1" si="23"/>
        <v/>
      </c>
      <c r="AO28" s="17" t="str">
        <f t="shared" ca="1" si="23"/>
        <v/>
      </c>
      <c r="AP28" s="17" t="str">
        <f t="shared" ca="1" si="23"/>
        <v/>
      </c>
      <c r="AQ28" s="17" t="str">
        <f t="shared" ca="1" si="23"/>
        <v/>
      </c>
      <c r="AR28" s="17" t="str">
        <f t="shared" ca="1" si="23"/>
        <v/>
      </c>
      <c r="AS28" s="17" t="str">
        <f t="shared" ca="1" si="23"/>
        <v/>
      </c>
      <c r="AT28" s="17" t="str">
        <f t="shared" ca="1" si="23"/>
        <v/>
      </c>
      <c r="AU28" s="17" t="str">
        <f t="shared" ca="1" si="23"/>
        <v/>
      </c>
      <c r="AV28" s="17" t="str">
        <f t="shared" ca="1" si="23"/>
        <v/>
      </c>
      <c r="AW28" s="17" t="str">
        <f t="shared" ca="1" si="23"/>
        <v/>
      </c>
      <c r="AX28" s="17" t="str">
        <f t="shared" ca="1" si="23"/>
        <v/>
      </c>
      <c r="AY28" s="17" t="str">
        <f t="shared" ca="1" si="23"/>
        <v/>
      </c>
      <c r="AZ28" s="17" t="str">
        <f t="shared" ca="1" si="23"/>
        <v/>
      </c>
      <c r="BA28" s="17" t="str">
        <f t="shared" ca="1" si="23"/>
        <v/>
      </c>
      <c r="BB28" s="17" t="str">
        <f t="shared" ca="1" si="23"/>
        <v/>
      </c>
      <c r="BC28" s="17" t="str">
        <f t="shared" ca="1" si="23"/>
        <v/>
      </c>
      <c r="BD28" s="17" t="str">
        <f t="shared" ca="1" si="23"/>
        <v/>
      </c>
      <c r="BE28" s="17" t="str">
        <f t="shared" ca="1" si="23"/>
        <v/>
      </c>
      <c r="BF28" s="17" t="str">
        <f t="shared" ca="1" si="23"/>
        <v/>
      </c>
      <c r="BG28" s="17" t="str">
        <f t="shared" ca="1" si="23"/>
        <v/>
      </c>
      <c r="BH28" s="17" t="str">
        <f t="shared" ca="1" si="23"/>
        <v/>
      </c>
      <c r="BI28" s="17" t="str">
        <f t="shared" ca="1" si="23"/>
        <v/>
      </c>
      <c r="BJ28" s="17" t="str">
        <f t="shared" ca="1" si="23"/>
        <v/>
      </c>
      <c r="BK28" s="17" t="str">
        <f t="shared" ca="1" si="23"/>
        <v/>
      </c>
      <c r="BL28" s="17" t="str">
        <f t="shared" ca="1" si="23"/>
        <v/>
      </c>
      <c r="BM28" s="17" t="str">
        <f t="shared" ca="1" si="23"/>
        <v/>
      </c>
      <c r="BN28" s="17" t="str">
        <f t="shared" ca="1" si="23"/>
        <v/>
      </c>
      <c r="BO28" s="17" t="str">
        <f t="shared" ca="1" si="23"/>
        <v/>
      </c>
      <c r="BP28" s="17" t="str">
        <f t="shared" ca="1" si="23"/>
        <v/>
      </c>
      <c r="BQ28" s="17" t="str">
        <f t="shared" ref="BQ28:CY30" ca="1" si="24">IF(BQ$16&lt;&gt;"",COUNTIFS(INDIRECT("'"&amp;BQ$16&amp;"'!$A$2:$A$1000"),$A28,INDIRECT("'"&amp;BQ$16&amp;"'!$E$2:$E$1000"),$B28),"")</f>
        <v/>
      </c>
      <c r="BR28" s="17" t="str">
        <f t="shared" ca="1" si="24"/>
        <v/>
      </c>
      <c r="BS28" s="17" t="str">
        <f t="shared" ca="1" si="24"/>
        <v/>
      </c>
      <c r="BT28" s="17" t="str">
        <f t="shared" ca="1" si="24"/>
        <v/>
      </c>
      <c r="BU28" s="17" t="str">
        <f t="shared" ca="1" si="24"/>
        <v/>
      </c>
      <c r="BV28" s="17" t="str">
        <f t="shared" ca="1" si="24"/>
        <v/>
      </c>
      <c r="BW28" s="17" t="str">
        <f t="shared" ca="1" si="24"/>
        <v/>
      </c>
      <c r="BX28" s="17" t="str">
        <f t="shared" ca="1" si="24"/>
        <v/>
      </c>
      <c r="BY28" s="17" t="str">
        <f t="shared" ca="1" si="24"/>
        <v/>
      </c>
      <c r="BZ28" s="17" t="str">
        <f t="shared" ca="1" si="24"/>
        <v/>
      </c>
      <c r="CA28" s="17" t="str">
        <f t="shared" ca="1" si="24"/>
        <v/>
      </c>
      <c r="CB28" s="17" t="str">
        <f t="shared" ca="1" si="24"/>
        <v/>
      </c>
      <c r="CC28" s="17" t="str">
        <f t="shared" ca="1" si="24"/>
        <v/>
      </c>
      <c r="CD28" s="17" t="str">
        <f t="shared" ca="1" si="24"/>
        <v/>
      </c>
      <c r="CE28" s="17" t="str">
        <f t="shared" ca="1" si="24"/>
        <v/>
      </c>
      <c r="CF28" s="17" t="str">
        <f t="shared" ca="1" si="24"/>
        <v/>
      </c>
      <c r="CG28" s="17" t="str">
        <f t="shared" ca="1" si="24"/>
        <v/>
      </c>
      <c r="CH28" s="17" t="str">
        <f t="shared" ca="1" si="24"/>
        <v/>
      </c>
      <c r="CI28" s="17" t="str">
        <f t="shared" ca="1" si="24"/>
        <v/>
      </c>
      <c r="CJ28" s="17" t="str">
        <f t="shared" ca="1" si="24"/>
        <v/>
      </c>
      <c r="CK28" s="17" t="str">
        <f t="shared" ca="1" si="24"/>
        <v/>
      </c>
      <c r="CL28" s="17" t="str">
        <f t="shared" ca="1" si="24"/>
        <v/>
      </c>
      <c r="CM28" s="17" t="str">
        <f t="shared" ca="1" si="24"/>
        <v/>
      </c>
      <c r="CN28" s="17" t="str">
        <f t="shared" ca="1" si="24"/>
        <v/>
      </c>
      <c r="CO28" s="17" t="str">
        <f t="shared" ca="1" si="24"/>
        <v/>
      </c>
      <c r="CP28" s="17" t="str">
        <f t="shared" ca="1" si="24"/>
        <v/>
      </c>
      <c r="CQ28" s="17" t="str">
        <f t="shared" ca="1" si="24"/>
        <v/>
      </c>
      <c r="CR28" s="17" t="str">
        <f t="shared" ca="1" si="24"/>
        <v/>
      </c>
      <c r="CS28" s="17" t="str">
        <f t="shared" ca="1" si="24"/>
        <v/>
      </c>
      <c r="CT28" s="17" t="str">
        <f t="shared" ca="1" si="24"/>
        <v/>
      </c>
      <c r="CU28" s="17" t="str">
        <f t="shared" ca="1" si="24"/>
        <v/>
      </c>
      <c r="CV28" s="17" t="str">
        <f t="shared" ca="1" si="24"/>
        <v/>
      </c>
      <c r="CW28" s="17" t="str">
        <f t="shared" ca="1" si="24"/>
        <v/>
      </c>
      <c r="CX28" s="17" t="str">
        <f t="shared" ca="1" si="24"/>
        <v/>
      </c>
      <c r="CY28" s="17" t="str">
        <f t="shared" ca="1" si="24"/>
        <v/>
      </c>
    </row>
    <row r="29" spans="1:103" s="9" customFormat="1" outlineLevel="1">
      <c r="A29" s="7" t="s">
        <v>10</v>
      </c>
      <c r="B29" s="7" t="s">
        <v>5</v>
      </c>
      <c r="C29" s="17">
        <f ca="1">COUNTIFS(INDIRECT("'"&amp;C$16&amp;"'!$A$2:$A$1000"),$A29,INDIRECT("'"&amp;C$16&amp;"'!$D$2:$D$1000"),$B29)</f>
        <v>0</v>
      </c>
      <c r="D29" s="17">
        <f ca="1">IF(D$16&lt;&gt;"",COUNTIFS(INDIRECT("'"&amp;D$16&amp;"'!$A$2:$A$1000"),$A29,INDIRECT("'"&amp;D$16&amp;"'!$E$2:$E$1000"),$B29),"")</f>
        <v>0</v>
      </c>
      <c r="E29" s="17" t="str">
        <f t="shared" ca="1" si="23"/>
        <v/>
      </c>
      <c r="F29" s="17" t="str">
        <f t="shared" ca="1" si="23"/>
        <v/>
      </c>
      <c r="G29" s="17" t="str">
        <f t="shared" ca="1" si="23"/>
        <v/>
      </c>
      <c r="H29" s="17" t="str">
        <f t="shared" ca="1" si="23"/>
        <v/>
      </c>
      <c r="I29" s="17" t="str">
        <f t="shared" ca="1" si="23"/>
        <v/>
      </c>
      <c r="J29" s="17" t="str">
        <f t="shared" ca="1" si="23"/>
        <v/>
      </c>
      <c r="K29" s="17" t="str">
        <f t="shared" ca="1" si="23"/>
        <v/>
      </c>
      <c r="L29" s="17" t="str">
        <f t="shared" ca="1" si="23"/>
        <v/>
      </c>
      <c r="M29" s="17" t="str">
        <f t="shared" ca="1" si="23"/>
        <v/>
      </c>
      <c r="N29" s="17" t="str">
        <f t="shared" ca="1" si="23"/>
        <v/>
      </c>
      <c r="O29" s="17" t="str">
        <f t="shared" ca="1" si="23"/>
        <v/>
      </c>
      <c r="P29" s="17" t="str">
        <f t="shared" ca="1" si="23"/>
        <v/>
      </c>
      <c r="Q29" s="17" t="str">
        <f t="shared" ca="1" si="23"/>
        <v/>
      </c>
      <c r="R29" s="17" t="str">
        <f t="shared" ca="1" si="23"/>
        <v/>
      </c>
      <c r="S29" s="17" t="str">
        <f t="shared" ca="1" si="23"/>
        <v/>
      </c>
      <c r="T29" s="17" t="str">
        <f t="shared" ca="1" si="23"/>
        <v/>
      </c>
      <c r="U29" s="17" t="str">
        <f t="shared" ca="1" si="23"/>
        <v/>
      </c>
      <c r="V29" s="17" t="str">
        <f t="shared" ca="1" si="23"/>
        <v/>
      </c>
      <c r="W29" s="17" t="str">
        <f t="shared" ca="1" si="23"/>
        <v/>
      </c>
      <c r="X29" s="17" t="str">
        <f t="shared" ca="1" si="23"/>
        <v/>
      </c>
      <c r="Y29" s="17" t="str">
        <f t="shared" ca="1" si="23"/>
        <v/>
      </c>
      <c r="Z29" s="17" t="str">
        <f t="shared" ca="1" si="23"/>
        <v/>
      </c>
      <c r="AA29" s="17" t="str">
        <f t="shared" ca="1" si="23"/>
        <v/>
      </c>
      <c r="AB29" s="17" t="str">
        <f t="shared" ca="1" si="23"/>
        <v/>
      </c>
      <c r="AC29" s="17" t="str">
        <f t="shared" ca="1" si="23"/>
        <v/>
      </c>
      <c r="AD29" s="17" t="str">
        <f t="shared" ca="1" si="23"/>
        <v/>
      </c>
      <c r="AE29" s="17" t="str">
        <f t="shared" ca="1" si="23"/>
        <v/>
      </c>
      <c r="AF29" s="17" t="str">
        <f t="shared" ca="1" si="23"/>
        <v/>
      </c>
      <c r="AG29" s="17" t="str">
        <f t="shared" ca="1" si="23"/>
        <v/>
      </c>
      <c r="AH29" s="17" t="str">
        <f t="shared" ca="1" si="23"/>
        <v/>
      </c>
      <c r="AI29" s="17" t="str">
        <f t="shared" ca="1" si="23"/>
        <v/>
      </c>
      <c r="AJ29" s="17" t="str">
        <f t="shared" ca="1" si="23"/>
        <v/>
      </c>
      <c r="AK29" s="17" t="str">
        <f t="shared" ca="1" si="23"/>
        <v/>
      </c>
      <c r="AL29" s="17" t="str">
        <f t="shared" ca="1" si="23"/>
        <v/>
      </c>
      <c r="AM29" s="17" t="str">
        <f t="shared" ca="1" si="23"/>
        <v/>
      </c>
      <c r="AN29" s="17" t="str">
        <f t="shared" ca="1" si="23"/>
        <v/>
      </c>
      <c r="AO29" s="17" t="str">
        <f t="shared" ca="1" si="23"/>
        <v/>
      </c>
      <c r="AP29" s="17" t="str">
        <f t="shared" ca="1" si="23"/>
        <v/>
      </c>
      <c r="AQ29" s="17" t="str">
        <f t="shared" ca="1" si="23"/>
        <v/>
      </c>
      <c r="AR29" s="17" t="str">
        <f t="shared" ca="1" si="23"/>
        <v/>
      </c>
      <c r="AS29" s="17" t="str">
        <f t="shared" ca="1" si="23"/>
        <v/>
      </c>
      <c r="AT29" s="17" t="str">
        <f t="shared" ca="1" si="23"/>
        <v/>
      </c>
      <c r="AU29" s="17" t="str">
        <f t="shared" ca="1" si="23"/>
        <v/>
      </c>
      <c r="AV29" s="17" t="str">
        <f t="shared" ca="1" si="23"/>
        <v/>
      </c>
      <c r="AW29" s="17" t="str">
        <f t="shared" ca="1" si="23"/>
        <v/>
      </c>
      <c r="AX29" s="17" t="str">
        <f t="shared" ca="1" si="23"/>
        <v/>
      </c>
      <c r="AY29" s="17" t="str">
        <f t="shared" ca="1" si="23"/>
        <v/>
      </c>
      <c r="AZ29" s="17" t="str">
        <f t="shared" ca="1" si="23"/>
        <v/>
      </c>
      <c r="BA29" s="17" t="str">
        <f t="shared" ca="1" si="23"/>
        <v/>
      </c>
      <c r="BB29" s="17" t="str">
        <f t="shared" ca="1" si="23"/>
        <v/>
      </c>
      <c r="BC29" s="17" t="str">
        <f t="shared" ca="1" si="23"/>
        <v/>
      </c>
      <c r="BD29" s="17" t="str">
        <f t="shared" ca="1" si="23"/>
        <v/>
      </c>
      <c r="BE29" s="17" t="str">
        <f t="shared" ca="1" si="23"/>
        <v/>
      </c>
      <c r="BF29" s="17" t="str">
        <f t="shared" ca="1" si="23"/>
        <v/>
      </c>
      <c r="BG29" s="17" t="str">
        <f t="shared" ca="1" si="23"/>
        <v/>
      </c>
      <c r="BH29" s="17" t="str">
        <f t="shared" ca="1" si="23"/>
        <v/>
      </c>
      <c r="BI29" s="17" t="str">
        <f t="shared" ca="1" si="23"/>
        <v/>
      </c>
      <c r="BJ29" s="17" t="str">
        <f t="shared" ca="1" si="23"/>
        <v/>
      </c>
      <c r="BK29" s="17" t="str">
        <f t="shared" ca="1" si="23"/>
        <v/>
      </c>
      <c r="BL29" s="17" t="str">
        <f t="shared" ca="1" si="23"/>
        <v/>
      </c>
      <c r="BM29" s="17" t="str">
        <f t="shared" ca="1" si="23"/>
        <v/>
      </c>
      <c r="BN29" s="17" t="str">
        <f t="shared" ca="1" si="23"/>
        <v/>
      </c>
      <c r="BO29" s="17" t="str">
        <f t="shared" ca="1" si="23"/>
        <v/>
      </c>
      <c r="BP29" s="17" t="str">
        <f t="shared" ca="1" si="23"/>
        <v/>
      </c>
      <c r="BQ29" s="17" t="str">
        <f t="shared" ca="1" si="24"/>
        <v/>
      </c>
      <c r="BR29" s="17" t="str">
        <f t="shared" ca="1" si="24"/>
        <v/>
      </c>
      <c r="BS29" s="17" t="str">
        <f t="shared" ca="1" si="24"/>
        <v/>
      </c>
      <c r="BT29" s="17" t="str">
        <f t="shared" ca="1" si="24"/>
        <v/>
      </c>
      <c r="BU29" s="17" t="str">
        <f t="shared" ca="1" si="24"/>
        <v/>
      </c>
      <c r="BV29" s="17" t="str">
        <f t="shared" ca="1" si="24"/>
        <v/>
      </c>
      <c r="BW29" s="17" t="str">
        <f t="shared" ca="1" si="24"/>
        <v/>
      </c>
      <c r="BX29" s="17" t="str">
        <f t="shared" ca="1" si="24"/>
        <v/>
      </c>
      <c r="BY29" s="17" t="str">
        <f t="shared" ca="1" si="24"/>
        <v/>
      </c>
      <c r="BZ29" s="17" t="str">
        <f t="shared" ca="1" si="24"/>
        <v/>
      </c>
      <c r="CA29" s="17" t="str">
        <f t="shared" ca="1" si="24"/>
        <v/>
      </c>
      <c r="CB29" s="17" t="str">
        <f t="shared" ca="1" si="24"/>
        <v/>
      </c>
      <c r="CC29" s="17" t="str">
        <f t="shared" ca="1" si="24"/>
        <v/>
      </c>
      <c r="CD29" s="17" t="str">
        <f t="shared" ca="1" si="24"/>
        <v/>
      </c>
      <c r="CE29" s="17" t="str">
        <f t="shared" ca="1" si="24"/>
        <v/>
      </c>
      <c r="CF29" s="17" t="str">
        <f t="shared" ca="1" si="24"/>
        <v/>
      </c>
      <c r="CG29" s="17" t="str">
        <f t="shared" ca="1" si="24"/>
        <v/>
      </c>
      <c r="CH29" s="17" t="str">
        <f t="shared" ca="1" si="24"/>
        <v/>
      </c>
      <c r="CI29" s="17" t="str">
        <f t="shared" ca="1" si="24"/>
        <v/>
      </c>
      <c r="CJ29" s="17" t="str">
        <f t="shared" ca="1" si="24"/>
        <v/>
      </c>
      <c r="CK29" s="17" t="str">
        <f t="shared" ca="1" si="24"/>
        <v/>
      </c>
      <c r="CL29" s="17" t="str">
        <f t="shared" ca="1" si="24"/>
        <v/>
      </c>
      <c r="CM29" s="17" t="str">
        <f t="shared" ca="1" si="24"/>
        <v/>
      </c>
      <c r="CN29" s="17" t="str">
        <f t="shared" ca="1" si="24"/>
        <v/>
      </c>
      <c r="CO29" s="17" t="str">
        <f t="shared" ca="1" si="24"/>
        <v/>
      </c>
      <c r="CP29" s="17" t="str">
        <f t="shared" ca="1" si="24"/>
        <v/>
      </c>
      <c r="CQ29" s="17" t="str">
        <f t="shared" ca="1" si="24"/>
        <v/>
      </c>
      <c r="CR29" s="17" t="str">
        <f t="shared" ca="1" si="24"/>
        <v/>
      </c>
      <c r="CS29" s="17" t="str">
        <f t="shared" ca="1" si="24"/>
        <v/>
      </c>
      <c r="CT29" s="17" t="str">
        <f t="shared" ca="1" si="24"/>
        <v/>
      </c>
      <c r="CU29" s="17" t="str">
        <f t="shared" ca="1" si="24"/>
        <v/>
      </c>
      <c r="CV29" s="17" t="str">
        <f t="shared" ca="1" si="24"/>
        <v/>
      </c>
      <c r="CW29" s="17" t="str">
        <f t="shared" ca="1" si="24"/>
        <v/>
      </c>
      <c r="CX29" s="17" t="str">
        <f t="shared" ca="1" si="24"/>
        <v/>
      </c>
      <c r="CY29" s="17" t="str">
        <f t="shared" ca="1" si="24"/>
        <v/>
      </c>
    </row>
    <row r="30" spans="1:103" s="9" customFormat="1" outlineLevel="1">
      <c r="A30" s="7" t="s">
        <v>10</v>
      </c>
      <c r="B30" s="7" t="s">
        <v>7</v>
      </c>
      <c r="C30" s="17">
        <f ca="1">COUNTIFS(INDIRECT("'"&amp;C$16&amp;"'!$A$2:$A$1000"),$A30,INDIRECT("'"&amp;C$16&amp;"'!$D$2:$D$1000"),$B30)
+COUNTIFS(INDIRECT("'"&amp;C$16&amp;"'!$A$2:$A$1000"),$A30,INDIRECT("'"&amp;C$16&amp;"'!$D$2:$D$1000"),"")</f>
        <v>8</v>
      </c>
      <c r="D30" s="17">
        <f ca="1">IF(D$16&lt;&gt;"",COUNTIFS(INDIRECT("'"&amp;D$16&amp;"'!$A$2:$A$1000"),$A30,INDIRECT("'"&amp;D$16&amp;"'!$E$2:$E$1000"),$B30),"")</f>
        <v>0</v>
      </c>
      <c r="E30" s="17" t="str">
        <f t="shared" ca="1" si="23"/>
        <v/>
      </c>
      <c r="F30" s="17" t="str">
        <f t="shared" ca="1" si="23"/>
        <v/>
      </c>
      <c r="G30" s="17" t="str">
        <f t="shared" ca="1" si="23"/>
        <v/>
      </c>
      <c r="H30" s="17" t="str">
        <f t="shared" ca="1" si="23"/>
        <v/>
      </c>
      <c r="I30" s="17" t="str">
        <f t="shared" ca="1" si="23"/>
        <v/>
      </c>
      <c r="J30" s="17" t="str">
        <f t="shared" ca="1" si="23"/>
        <v/>
      </c>
      <c r="K30" s="17" t="str">
        <f t="shared" ca="1" si="23"/>
        <v/>
      </c>
      <c r="L30" s="17" t="str">
        <f t="shared" ca="1" si="23"/>
        <v/>
      </c>
      <c r="M30" s="17" t="str">
        <f t="shared" ca="1" si="23"/>
        <v/>
      </c>
      <c r="N30" s="17" t="str">
        <f t="shared" ca="1" si="23"/>
        <v/>
      </c>
      <c r="O30" s="17" t="str">
        <f t="shared" ca="1" si="23"/>
        <v/>
      </c>
      <c r="P30" s="17" t="str">
        <f t="shared" ca="1" si="23"/>
        <v/>
      </c>
      <c r="Q30" s="17" t="str">
        <f t="shared" ca="1" si="23"/>
        <v/>
      </c>
      <c r="R30" s="17" t="str">
        <f t="shared" ca="1" si="23"/>
        <v/>
      </c>
      <c r="S30" s="17" t="str">
        <f t="shared" ca="1" si="23"/>
        <v/>
      </c>
      <c r="T30" s="17" t="str">
        <f t="shared" ca="1" si="23"/>
        <v/>
      </c>
      <c r="U30" s="17" t="str">
        <f t="shared" ca="1" si="23"/>
        <v/>
      </c>
      <c r="V30" s="17" t="str">
        <f t="shared" ca="1" si="23"/>
        <v/>
      </c>
      <c r="W30" s="17" t="str">
        <f t="shared" ca="1" si="23"/>
        <v/>
      </c>
      <c r="X30" s="17" t="str">
        <f t="shared" ca="1" si="23"/>
        <v/>
      </c>
      <c r="Y30" s="17" t="str">
        <f t="shared" ca="1" si="23"/>
        <v/>
      </c>
      <c r="Z30" s="17" t="str">
        <f t="shared" ca="1" si="23"/>
        <v/>
      </c>
      <c r="AA30" s="17" t="str">
        <f t="shared" ca="1" si="23"/>
        <v/>
      </c>
      <c r="AB30" s="17" t="str">
        <f t="shared" ca="1" si="23"/>
        <v/>
      </c>
      <c r="AC30" s="17" t="str">
        <f t="shared" ca="1" si="23"/>
        <v/>
      </c>
      <c r="AD30" s="17" t="str">
        <f t="shared" ca="1" si="23"/>
        <v/>
      </c>
      <c r="AE30" s="17" t="str">
        <f t="shared" ca="1" si="23"/>
        <v/>
      </c>
      <c r="AF30" s="17" t="str">
        <f t="shared" ca="1" si="23"/>
        <v/>
      </c>
      <c r="AG30" s="17" t="str">
        <f t="shared" ca="1" si="23"/>
        <v/>
      </c>
      <c r="AH30" s="17" t="str">
        <f t="shared" ca="1" si="23"/>
        <v/>
      </c>
      <c r="AI30" s="17" t="str">
        <f t="shared" ca="1" si="23"/>
        <v/>
      </c>
      <c r="AJ30" s="17" t="str">
        <f t="shared" ca="1" si="23"/>
        <v/>
      </c>
      <c r="AK30" s="17" t="str">
        <f t="shared" ca="1" si="23"/>
        <v/>
      </c>
      <c r="AL30" s="17" t="str">
        <f t="shared" ca="1" si="23"/>
        <v/>
      </c>
      <c r="AM30" s="17" t="str">
        <f t="shared" ca="1" si="23"/>
        <v/>
      </c>
      <c r="AN30" s="17" t="str">
        <f t="shared" ca="1" si="23"/>
        <v/>
      </c>
      <c r="AO30" s="17" t="str">
        <f t="shared" ca="1" si="23"/>
        <v/>
      </c>
      <c r="AP30" s="17" t="str">
        <f t="shared" ca="1" si="23"/>
        <v/>
      </c>
      <c r="AQ30" s="17" t="str">
        <f t="shared" ca="1" si="23"/>
        <v/>
      </c>
      <c r="AR30" s="17" t="str">
        <f t="shared" ca="1" si="23"/>
        <v/>
      </c>
      <c r="AS30" s="17" t="str">
        <f t="shared" ca="1" si="23"/>
        <v/>
      </c>
      <c r="AT30" s="17" t="str">
        <f t="shared" ca="1" si="23"/>
        <v/>
      </c>
      <c r="AU30" s="17" t="str">
        <f t="shared" ca="1" si="23"/>
        <v/>
      </c>
      <c r="AV30" s="17" t="str">
        <f t="shared" ca="1" si="23"/>
        <v/>
      </c>
      <c r="AW30" s="17" t="str">
        <f t="shared" ca="1" si="23"/>
        <v/>
      </c>
      <c r="AX30" s="17" t="str">
        <f t="shared" ca="1" si="23"/>
        <v/>
      </c>
      <c r="AY30" s="17" t="str">
        <f t="shared" ca="1" si="23"/>
        <v/>
      </c>
      <c r="AZ30" s="17" t="str">
        <f t="shared" ca="1" si="23"/>
        <v/>
      </c>
      <c r="BA30" s="17" t="str">
        <f t="shared" ca="1" si="23"/>
        <v/>
      </c>
      <c r="BB30" s="17" t="str">
        <f t="shared" ca="1" si="23"/>
        <v/>
      </c>
      <c r="BC30" s="17" t="str">
        <f t="shared" ca="1" si="23"/>
        <v/>
      </c>
      <c r="BD30" s="17" t="str">
        <f t="shared" ca="1" si="23"/>
        <v/>
      </c>
      <c r="BE30" s="17" t="str">
        <f t="shared" ca="1" si="23"/>
        <v/>
      </c>
      <c r="BF30" s="17" t="str">
        <f t="shared" ca="1" si="23"/>
        <v/>
      </c>
      <c r="BG30" s="17" t="str">
        <f t="shared" ca="1" si="23"/>
        <v/>
      </c>
      <c r="BH30" s="17" t="str">
        <f t="shared" ca="1" si="23"/>
        <v/>
      </c>
      <c r="BI30" s="17" t="str">
        <f t="shared" ca="1" si="23"/>
        <v/>
      </c>
      <c r="BJ30" s="17" t="str">
        <f t="shared" ca="1" si="23"/>
        <v/>
      </c>
      <c r="BK30" s="17" t="str">
        <f t="shared" ca="1" si="23"/>
        <v/>
      </c>
      <c r="BL30" s="17" t="str">
        <f t="shared" ca="1" si="23"/>
        <v/>
      </c>
      <c r="BM30" s="17" t="str">
        <f t="shared" ca="1" si="23"/>
        <v/>
      </c>
      <c r="BN30" s="17" t="str">
        <f t="shared" ca="1" si="23"/>
        <v/>
      </c>
      <c r="BO30" s="17" t="str">
        <f t="shared" ca="1" si="23"/>
        <v/>
      </c>
      <c r="BP30" s="17" t="str">
        <f t="shared" ca="1" si="23"/>
        <v/>
      </c>
      <c r="BQ30" s="17" t="str">
        <f t="shared" ca="1" si="24"/>
        <v/>
      </c>
      <c r="BR30" s="17" t="str">
        <f t="shared" ca="1" si="24"/>
        <v/>
      </c>
      <c r="BS30" s="17" t="str">
        <f t="shared" ca="1" si="24"/>
        <v/>
      </c>
      <c r="BT30" s="17" t="str">
        <f t="shared" ca="1" si="24"/>
        <v/>
      </c>
      <c r="BU30" s="17" t="str">
        <f t="shared" ca="1" si="24"/>
        <v/>
      </c>
      <c r="BV30" s="17" t="str">
        <f t="shared" ca="1" si="24"/>
        <v/>
      </c>
      <c r="BW30" s="17" t="str">
        <f t="shared" ca="1" si="24"/>
        <v/>
      </c>
      <c r="BX30" s="17" t="str">
        <f t="shared" ca="1" si="24"/>
        <v/>
      </c>
      <c r="BY30" s="17" t="str">
        <f t="shared" ca="1" si="24"/>
        <v/>
      </c>
      <c r="BZ30" s="17" t="str">
        <f t="shared" ca="1" si="24"/>
        <v/>
      </c>
      <c r="CA30" s="17" t="str">
        <f t="shared" ca="1" si="24"/>
        <v/>
      </c>
      <c r="CB30" s="17" t="str">
        <f t="shared" ca="1" si="24"/>
        <v/>
      </c>
      <c r="CC30" s="17" t="str">
        <f t="shared" ca="1" si="24"/>
        <v/>
      </c>
      <c r="CD30" s="17" t="str">
        <f t="shared" ca="1" si="24"/>
        <v/>
      </c>
      <c r="CE30" s="17" t="str">
        <f t="shared" ca="1" si="24"/>
        <v/>
      </c>
      <c r="CF30" s="17" t="str">
        <f t="shared" ca="1" si="24"/>
        <v/>
      </c>
      <c r="CG30" s="17" t="str">
        <f t="shared" ca="1" si="24"/>
        <v/>
      </c>
      <c r="CH30" s="17" t="str">
        <f t="shared" ca="1" si="24"/>
        <v/>
      </c>
      <c r="CI30" s="17" t="str">
        <f t="shared" ca="1" si="24"/>
        <v/>
      </c>
      <c r="CJ30" s="17" t="str">
        <f t="shared" ca="1" si="24"/>
        <v/>
      </c>
      <c r="CK30" s="17" t="str">
        <f t="shared" ca="1" si="24"/>
        <v/>
      </c>
      <c r="CL30" s="17" t="str">
        <f t="shared" ca="1" si="24"/>
        <v/>
      </c>
      <c r="CM30" s="17" t="str">
        <f t="shared" ca="1" si="24"/>
        <v/>
      </c>
      <c r="CN30" s="17" t="str">
        <f t="shared" ca="1" si="24"/>
        <v/>
      </c>
      <c r="CO30" s="17" t="str">
        <f t="shared" ca="1" si="24"/>
        <v/>
      </c>
      <c r="CP30" s="17" t="str">
        <f t="shared" ca="1" si="24"/>
        <v/>
      </c>
      <c r="CQ30" s="17" t="str">
        <f t="shared" ca="1" si="24"/>
        <v/>
      </c>
      <c r="CR30" s="17" t="str">
        <f t="shared" ca="1" si="24"/>
        <v/>
      </c>
      <c r="CS30" s="17" t="str">
        <f t="shared" ca="1" si="24"/>
        <v/>
      </c>
      <c r="CT30" s="17" t="str">
        <f t="shared" ca="1" si="24"/>
        <v/>
      </c>
      <c r="CU30" s="17" t="str">
        <f t="shared" ca="1" si="24"/>
        <v/>
      </c>
      <c r="CV30" s="17" t="str">
        <f t="shared" ca="1" si="24"/>
        <v/>
      </c>
      <c r="CW30" s="17" t="str">
        <f t="shared" ca="1" si="24"/>
        <v/>
      </c>
      <c r="CX30" s="17" t="str">
        <f t="shared" ca="1" si="24"/>
        <v/>
      </c>
      <c r="CY30" s="17" t="str">
        <f t="shared" ca="1" si="24"/>
        <v/>
      </c>
    </row>
    <row r="31" spans="1:103" s="9" customFormat="1" outlineLevel="1">
      <c r="A31" s="7" t="s">
        <v>10</v>
      </c>
      <c r="B31" s="7" t="s">
        <v>13</v>
      </c>
      <c r="C31" s="17">
        <f ca="1">COUNTIFS(INDIRECT("'"&amp;C$16&amp;"'!$A$2:$A$1000"),$A31,INDIRECT("'"&amp;C$16&amp;"'!$D$2:$D$1000"),$B31)</f>
        <v>0</v>
      </c>
      <c r="D31" s="17">
        <f ca="1">IF(D$16&lt;&gt;"",COUNTIFS(INDIRECT("'"&amp;D$16&amp;"'!$A$2:$A$1000"),$A31,INDIRECT("'"&amp;D$16&amp;"'!$E$2:$E$1000"),$B31),"")</f>
        <v>0</v>
      </c>
      <c r="E31" s="17" t="str">
        <f t="shared" ca="1" si="23"/>
        <v/>
      </c>
      <c r="F31" s="17" t="str">
        <f t="shared" ca="1" si="23"/>
        <v/>
      </c>
      <c r="G31" s="17" t="str">
        <f t="shared" ca="1" si="23"/>
        <v/>
      </c>
      <c r="H31" s="17" t="str">
        <f t="shared" ca="1" si="23"/>
        <v/>
      </c>
      <c r="I31" s="17" t="str">
        <f t="shared" ca="1" si="23"/>
        <v/>
      </c>
      <c r="J31" s="17" t="str">
        <f t="shared" ca="1" si="23"/>
        <v/>
      </c>
      <c r="K31" s="17" t="str">
        <f t="shared" ca="1" si="23"/>
        <v/>
      </c>
      <c r="L31" s="17" t="str">
        <f t="shared" ca="1" si="23"/>
        <v/>
      </c>
      <c r="M31" s="17" t="str">
        <f t="shared" ca="1" si="23"/>
        <v/>
      </c>
      <c r="N31" s="17" t="str">
        <f t="shared" ca="1" si="23"/>
        <v/>
      </c>
      <c r="O31" s="17" t="str">
        <f t="shared" ca="1" si="23"/>
        <v/>
      </c>
      <c r="P31" s="17" t="str">
        <f t="shared" ca="1" si="23"/>
        <v/>
      </c>
      <c r="Q31" s="17" t="str">
        <f t="shared" ca="1" si="23"/>
        <v/>
      </c>
      <c r="R31" s="17" t="str">
        <f t="shared" ca="1" si="23"/>
        <v/>
      </c>
      <c r="S31" s="17" t="str">
        <f t="shared" ca="1" si="23"/>
        <v/>
      </c>
      <c r="T31" s="17" t="str">
        <f t="shared" ca="1" si="23"/>
        <v/>
      </c>
      <c r="U31" s="17" t="str">
        <f t="shared" ca="1" si="23"/>
        <v/>
      </c>
      <c r="V31" s="17" t="str">
        <f t="shared" ca="1" si="23"/>
        <v/>
      </c>
      <c r="W31" s="17" t="str">
        <f t="shared" ca="1" si="23"/>
        <v/>
      </c>
      <c r="X31" s="17" t="str">
        <f t="shared" ca="1" si="23"/>
        <v/>
      </c>
      <c r="Y31" s="17" t="str">
        <f t="shared" ca="1" si="23"/>
        <v/>
      </c>
      <c r="Z31" s="17" t="str">
        <f t="shared" ca="1" si="23"/>
        <v/>
      </c>
      <c r="AA31" s="17" t="str">
        <f t="shared" ca="1" si="23"/>
        <v/>
      </c>
      <c r="AB31" s="17" t="str">
        <f t="shared" ca="1" si="23"/>
        <v/>
      </c>
      <c r="AC31" s="17" t="str">
        <f t="shared" ca="1" si="23"/>
        <v/>
      </c>
      <c r="AD31" s="17" t="str">
        <f t="shared" ca="1" si="23"/>
        <v/>
      </c>
      <c r="AE31" s="17" t="str">
        <f t="shared" ca="1" si="23"/>
        <v/>
      </c>
      <c r="AF31" s="17" t="str">
        <f t="shared" ca="1" si="23"/>
        <v/>
      </c>
      <c r="AG31" s="17" t="str">
        <f t="shared" ca="1" si="23"/>
        <v/>
      </c>
      <c r="AH31" s="17" t="str">
        <f t="shared" ca="1" si="23"/>
        <v/>
      </c>
      <c r="AI31" s="17" t="str">
        <f t="shared" ca="1" si="23"/>
        <v/>
      </c>
      <c r="AJ31" s="17" t="str">
        <f t="shared" ca="1" si="23"/>
        <v/>
      </c>
      <c r="AK31" s="17" t="str">
        <f t="shared" ca="1" si="23"/>
        <v/>
      </c>
      <c r="AL31" s="17" t="str">
        <f t="shared" ca="1" si="23"/>
        <v/>
      </c>
      <c r="AM31" s="17" t="str">
        <f t="shared" ca="1" si="23"/>
        <v/>
      </c>
      <c r="AN31" s="17" t="str">
        <f t="shared" ca="1" si="23"/>
        <v/>
      </c>
      <c r="AO31" s="17" t="str">
        <f t="shared" ca="1" si="23"/>
        <v/>
      </c>
      <c r="AP31" s="17" t="str">
        <f t="shared" ca="1" si="23"/>
        <v/>
      </c>
      <c r="AQ31" s="17" t="str">
        <f t="shared" ca="1" si="23"/>
        <v/>
      </c>
      <c r="AR31" s="17" t="str">
        <f t="shared" ca="1" si="23"/>
        <v/>
      </c>
      <c r="AS31" s="17" t="str">
        <f t="shared" ca="1" si="23"/>
        <v/>
      </c>
      <c r="AT31" s="17" t="str">
        <f t="shared" ca="1" si="23"/>
        <v/>
      </c>
      <c r="AU31" s="17" t="str">
        <f t="shared" ca="1" si="23"/>
        <v/>
      </c>
      <c r="AV31" s="17" t="str">
        <f t="shared" ca="1" si="23"/>
        <v/>
      </c>
      <c r="AW31" s="17" t="str">
        <f t="shared" ca="1" si="23"/>
        <v/>
      </c>
      <c r="AX31" s="17" t="str">
        <f t="shared" ca="1" si="23"/>
        <v/>
      </c>
      <c r="AY31" s="17" t="str">
        <f t="shared" ca="1" si="23"/>
        <v/>
      </c>
      <c r="AZ31" s="17" t="str">
        <f t="shared" ca="1" si="23"/>
        <v/>
      </c>
      <c r="BA31" s="17" t="str">
        <f t="shared" ca="1" si="23"/>
        <v/>
      </c>
      <c r="BB31" s="17" t="str">
        <f t="shared" ca="1" si="23"/>
        <v/>
      </c>
      <c r="BC31" s="17" t="str">
        <f t="shared" ca="1" si="23"/>
        <v/>
      </c>
      <c r="BD31" s="17" t="str">
        <f t="shared" ca="1" si="23"/>
        <v/>
      </c>
      <c r="BE31" s="17" t="str">
        <f t="shared" ca="1" si="23"/>
        <v/>
      </c>
      <c r="BF31" s="17" t="str">
        <f t="shared" ca="1" si="23"/>
        <v/>
      </c>
      <c r="BG31" s="17" t="str">
        <f t="shared" ca="1" si="23"/>
        <v/>
      </c>
      <c r="BH31" s="17" t="str">
        <f t="shared" ca="1" si="23"/>
        <v/>
      </c>
      <c r="BI31" s="17" t="str">
        <f t="shared" ca="1" si="23"/>
        <v/>
      </c>
      <c r="BJ31" s="17" t="str">
        <f t="shared" ca="1" si="23"/>
        <v/>
      </c>
      <c r="BK31" s="17" t="str">
        <f t="shared" ca="1" si="23"/>
        <v/>
      </c>
      <c r="BL31" s="17" t="str">
        <f t="shared" ca="1" si="23"/>
        <v/>
      </c>
      <c r="BM31" s="17" t="str">
        <f t="shared" ca="1" si="23"/>
        <v/>
      </c>
      <c r="BN31" s="17" t="str">
        <f t="shared" ca="1" si="23"/>
        <v/>
      </c>
      <c r="BO31" s="17" t="str">
        <f t="shared" ca="1" si="23"/>
        <v/>
      </c>
      <c r="BP31" s="17" t="str">
        <f t="shared" ref="BP31:CY31" ca="1" si="25">IF(BP$16&lt;&gt;"",COUNTIFS(INDIRECT("'"&amp;BP$16&amp;"'!$A$2:$A$1000"),$A31,INDIRECT("'"&amp;BP$16&amp;"'!$E$2:$E$1000"),$B31),"")</f>
        <v/>
      </c>
      <c r="BQ31" s="17" t="str">
        <f t="shared" ca="1" si="25"/>
        <v/>
      </c>
      <c r="BR31" s="17" t="str">
        <f t="shared" ca="1" si="25"/>
        <v/>
      </c>
      <c r="BS31" s="17" t="str">
        <f t="shared" ca="1" si="25"/>
        <v/>
      </c>
      <c r="BT31" s="17" t="str">
        <f t="shared" ca="1" si="25"/>
        <v/>
      </c>
      <c r="BU31" s="17" t="str">
        <f t="shared" ca="1" si="25"/>
        <v/>
      </c>
      <c r="BV31" s="17" t="str">
        <f t="shared" ca="1" si="25"/>
        <v/>
      </c>
      <c r="BW31" s="17" t="str">
        <f t="shared" ca="1" si="25"/>
        <v/>
      </c>
      <c r="BX31" s="17" t="str">
        <f t="shared" ca="1" si="25"/>
        <v/>
      </c>
      <c r="BY31" s="17" t="str">
        <f t="shared" ca="1" si="25"/>
        <v/>
      </c>
      <c r="BZ31" s="17" t="str">
        <f t="shared" ca="1" si="25"/>
        <v/>
      </c>
      <c r="CA31" s="17" t="str">
        <f t="shared" ca="1" si="25"/>
        <v/>
      </c>
      <c r="CB31" s="17" t="str">
        <f t="shared" ca="1" si="25"/>
        <v/>
      </c>
      <c r="CC31" s="17" t="str">
        <f t="shared" ca="1" si="25"/>
        <v/>
      </c>
      <c r="CD31" s="17" t="str">
        <f t="shared" ca="1" si="25"/>
        <v/>
      </c>
      <c r="CE31" s="17" t="str">
        <f t="shared" ca="1" si="25"/>
        <v/>
      </c>
      <c r="CF31" s="17" t="str">
        <f t="shared" ca="1" si="25"/>
        <v/>
      </c>
      <c r="CG31" s="17" t="str">
        <f t="shared" ca="1" si="25"/>
        <v/>
      </c>
      <c r="CH31" s="17" t="str">
        <f t="shared" ca="1" si="25"/>
        <v/>
      </c>
      <c r="CI31" s="17" t="str">
        <f t="shared" ca="1" si="25"/>
        <v/>
      </c>
      <c r="CJ31" s="17" t="str">
        <f t="shared" ca="1" si="25"/>
        <v/>
      </c>
      <c r="CK31" s="17" t="str">
        <f t="shared" ca="1" si="25"/>
        <v/>
      </c>
      <c r="CL31" s="17" t="str">
        <f t="shared" ca="1" si="25"/>
        <v/>
      </c>
      <c r="CM31" s="17" t="str">
        <f t="shared" ca="1" si="25"/>
        <v/>
      </c>
      <c r="CN31" s="17" t="str">
        <f t="shared" ca="1" si="25"/>
        <v/>
      </c>
      <c r="CO31" s="17" t="str">
        <f t="shared" ca="1" si="25"/>
        <v/>
      </c>
      <c r="CP31" s="17" t="str">
        <f t="shared" ca="1" si="25"/>
        <v/>
      </c>
      <c r="CQ31" s="17" t="str">
        <f t="shared" ca="1" si="25"/>
        <v/>
      </c>
      <c r="CR31" s="17" t="str">
        <f t="shared" ca="1" si="25"/>
        <v/>
      </c>
      <c r="CS31" s="17" t="str">
        <f t="shared" ca="1" si="25"/>
        <v/>
      </c>
      <c r="CT31" s="17" t="str">
        <f t="shared" ca="1" si="25"/>
        <v/>
      </c>
      <c r="CU31" s="17" t="str">
        <f t="shared" ca="1" si="25"/>
        <v/>
      </c>
      <c r="CV31" s="17" t="str">
        <f t="shared" ca="1" si="25"/>
        <v/>
      </c>
      <c r="CW31" s="17" t="str">
        <f t="shared" ca="1" si="25"/>
        <v/>
      </c>
      <c r="CX31" s="17" t="str">
        <f t="shared" ca="1" si="25"/>
        <v/>
      </c>
      <c r="CY31" s="17" t="str">
        <f t="shared" ca="1" si="25"/>
        <v/>
      </c>
    </row>
    <row r="32" spans="1:103" s="9" customFormat="1" outlineLevel="1">
      <c r="A32" s="7" t="s">
        <v>300</v>
      </c>
      <c r="B32" s="7" t="s">
        <v>40</v>
      </c>
      <c r="C32" s="17">
        <f ca="1">COUNTIFS(INDIRECT("'"&amp;C$16&amp;"'!$A$2:$A$1000"),$A32)</f>
        <v>37</v>
      </c>
      <c r="D32" s="17">
        <f ca="1">IF(D$16&lt;&gt;"",COUNTIFS(INDIRECT("'"&amp;D$16&amp;"'!$A$2:$A$1000"),$A32),"")</f>
        <v>37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</row>
    <row r="33" spans="1:103" s="9" customFormat="1" outlineLevel="1">
      <c r="A33" s="7" t="s">
        <v>300</v>
      </c>
      <c r="B33" s="7" t="s">
        <v>6</v>
      </c>
      <c r="C33" s="17">
        <f ca="1">COUNTIFS(INDIRECT("'"&amp;C$16&amp;"'!$A$2:$A$1000"),$A33,INDIRECT("'"&amp;C$16&amp;"'!$D$2:$D$1000"),$B33)</f>
        <v>0</v>
      </c>
      <c r="D33" s="17">
        <f ca="1">IF(D$16&lt;&gt;"",COUNTIFS(INDIRECT("'"&amp;D$16&amp;"'!$A$2:$A$1000"),$A33,INDIRECT("'"&amp;D$16&amp;"'!$E$2:$E$1000"),$B33),"")</f>
        <v>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</row>
    <row r="34" spans="1:103" s="9" customFormat="1" outlineLevel="1">
      <c r="A34" s="7" t="s">
        <v>300</v>
      </c>
      <c r="B34" s="7" t="s">
        <v>5</v>
      </c>
      <c r="C34" s="17">
        <f ca="1">COUNTIFS(INDIRECT("'"&amp;C$16&amp;"'!$A$2:$A$1000"),$A34,INDIRECT("'"&amp;C$16&amp;"'!$D$2:$D$1000"),$B34)</f>
        <v>0</v>
      </c>
      <c r="D34" s="17">
        <f ca="1">IF(D$16&lt;&gt;"",COUNTIFS(INDIRECT("'"&amp;D$16&amp;"'!$A$2:$A$1000"),$A34,INDIRECT("'"&amp;D$16&amp;"'!$E$2:$E$1000"),$B34),"")</f>
        <v>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</row>
    <row r="35" spans="1:103" s="9" customFormat="1" outlineLevel="1">
      <c r="A35" s="7" t="s">
        <v>300</v>
      </c>
      <c r="B35" s="7" t="s">
        <v>7</v>
      </c>
      <c r="C35" s="17">
        <f ca="1">COUNTIFS(INDIRECT("'"&amp;C$16&amp;"'!$A$2:$A$1000"),$A35,INDIRECT("'"&amp;C$16&amp;"'!$D$2:$D$1000"),$B35)
+COUNTIFS(INDIRECT("'"&amp;C$16&amp;"'!$A$2:$A$1000"),$A35,INDIRECT("'"&amp;C$16&amp;"'!$D$2:$D$1000"),"")</f>
        <v>37</v>
      </c>
      <c r="D35" s="17">
        <f ca="1">IF(D$16&lt;&gt;"",COUNTIFS(INDIRECT("'"&amp;D$16&amp;"'!$A$2:$A$1000"),$A35,INDIRECT("'"&amp;D$16&amp;"'!$E$2:$E$1000"),$B35),"")</f>
        <v>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</row>
    <row r="36" spans="1:103" s="9" customFormat="1" outlineLevel="1">
      <c r="A36" s="7" t="s">
        <v>300</v>
      </c>
      <c r="B36" s="7" t="s">
        <v>13</v>
      </c>
      <c r="C36" s="17">
        <f ca="1">COUNTIFS(INDIRECT("'"&amp;C$16&amp;"'!$A$2:$A$1000"),$A36,INDIRECT("'"&amp;C$16&amp;"'!$D$2:$D$1000"),$B36)</f>
        <v>0</v>
      </c>
      <c r="D36" s="17">
        <f ca="1">IF(D$16&lt;&gt;"",COUNTIFS(INDIRECT("'"&amp;D$16&amp;"'!$A$2:$A$1000"),$A36,INDIRECT("'"&amp;D$16&amp;"'!$E$2:$E$1000"),$B36),"")</f>
        <v>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</row>
    <row r="37" spans="1:103" outlineLevel="1"/>
    <row r="38" spans="1:103" outlineLevel="1">
      <c r="A38" s="22" t="s">
        <v>27</v>
      </c>
      <c r="B38" s="5"/>
      <c r="C38" s="5"/>
    </row>
    <row r="39" spans="1:103" ht="34.5" customHeight="1" outlineLevel="1">
      <c r="A39" s="3" t="s">
        <v>0</v>
      </c>
      <c r="B39" s="15"/>
      <c r="C39" s="15"/>
      <c r="D39" s="13" t="str">
        <f t="shared" ref="D39:BO39" ca="1" si="26">_xlfn.IFS(D$2="","",ISERROR(INDIRECT("'"&amp;D$2&amp;"'!$B$1")),INDIRECT("'"&amp;D$2&amp;"'!$B$1"),D$2&lt;&gt;"",D$2)</f>
        <v>IST Stand &lt;Datum&gt;</v>
      </c>
      <c r="E39" s="13" t="str">
        <f t="shared" ca="1" si="26"/>
        <v/>
      </c>
      <c r="F39" s="13" t="str">
        <f t="shared" ca="1" si="26"/>
        <v/>
      </c>
      <c r="G39" s="13" t="str">
        <f t="shared" ca="1" si="26"/>
        <v/>
      </c>
      <c r="H39" s="13" t="str">
        <f t="shared" ca="1" si="26"/>
        <v/>
      </c>
      <c r="I39" s="13" t="str">
        <f t="shared" ca="1" si="26"/>
        <v/>
      </c>
      <c r="J39" s="13" t="str">
        <f t="shared" ca="1" si="26"/>
        <v/>
      </c>
      <c r="K39" s="13" t="str">
        <f t="shared" ca="1" si="26"/>
        <v/>
      </c>
      <c r="L39" s="13" t="str">
        <f t="shared" ca="1" si="26"/>
        <v/>
      </c>
      <c r="M39" s="13" t="str">
        <f t="shared" ca="1" si="26"/>
        <v/>
      </c>
      <c r="N39" s="13" t="str">
        <f t="shared" ca="1" si="26"/>
        <v/>
      </c>
      <c r="O39" s="13" t="str">
        <f t="shared" ca="1" si="26"/>
        <v/>
      </c>
      <c r="P39" s="13" t="str">
        <f t="shared" ca="1" si="26"/>
        <v/>
      </c>
      <c r="Q39" s="13" t="str">
        <f t="shared" ca="1" si="26"/>
        <v/>
      </c>
      <c r="R39" s="13" t="str">
        <f t="shared" ca="1" si="26"/>
        <v/>
      </c>
      <c r="S39" s="13" t="str">
        <f t="shared" ca="1" si="26"/>
        <v/>
      </c>
      <c r="T39" s="13" t="str">
        <f t="shared" ca="1" si="26"/>
        <v/>
      </c>
      <c r="U39" s="13" t="str">
        <f t="shared" ca="1" si="26"/>
        <v/>
      </c>
      <c r="V39" s="13" t="str">
        <f t="shared" ca="1" si="26"/>
        <v/>
      </c>
      <c r="W39" s="13" t="str">
        <f t="shared" ca="1" si="26"/>
        <v/>
      </c>
      <c r="X39" s="13" t="str">
        <f t="shared" ca="1" si="26"/>
        <v/>
      </c>
      <c r="Y39" s="13" t="str">
        <f t="shared" ca="1" si="26"/>
        <v/>
      </c>
      <c r="Z39" s="13" t="str">
        <f t="shared" ca="1" si="26"/>
        <v/>
      </c>
      <c r="AA39" s="13" t="str">
        <f t="shared" ca="1" si="26"/>
        <v/>
      </c>
      <c r="AB39" s="13" t="str">
        <f t="shared" ca="1" si="26"/>
        <v/>
      </c>
      <c r="AC39" s="13" t="str">
        <f t="shared" ca="1" si="26"/>
        <v/>
      </c>
      <c r="AD39" s="13" t="str">
        <f t="shared" ca="1" si="26"/>
        <v/>
      </c>
      <c r="AE39" s="13" t="str">
        <f t="shared" ca="1" si="26"/>
        <v/>
      </c>
      <c r="AF39" s="13" t="str">
        <f t="shared" ca="1" si="26"/>
        <v/>
      </c>
      <c r="AG39" s="13" t="str">
        <f t="shared" ca="1" si="26"/>
        <v/>
      </c>
      <c r="AH39" s="13" t="str">
        <f t="shared" ca="1" si="26"/>
        <v/>
      </c>
      <c r="AI39" s="13" t="str">
        <f t="shared" ca="1" si="26"/>
        <v/>
      </c>
      <c r="AJ39" s="13" t="str">
        <f t="shared" ca="1" si="26"/>
        <v/>
      </c>
      <c r="AK39" s="13" t="str">
        <f t="shared" ca="1" si="26"/>
        <v/>
      </c>
      <c r="AL39" s="13" t="str">
        <f t="shared" ca="1" si="26"/>
        <v/>
      </c>
      <c r="AM39" s="13" t="str">
        <f t="shared" ca="1" si="26"/>
        <v/>
      </c>
      <c r="AN39" s="13" t="str">
        <f t="shared" ca="1" si="26"/>
        <v/>
      </c>
      <c r="AO39" s="13" t="str">
        <f t="shared" ca="1" si="26"/>
        <v/>
      </c>
      <c r="AP39" s="13" t="str">
        <f t="shared" ca="1" si="26"/>
        <v/>
      </c>
      <c r="AQ39" s="13" t="str">
        <f t="shared" ca="1" si="26"/>
        <v/>
      </c>
      <c r="AR39" s="13" t="str">
        <f t="shared" ca="1" si="26"/>
        <v/>
      </c>
      <c r="AS39" s="13" t="str">
        <f t="shared" ca="1" si="26"/>
        <v/>
      </c>
      <c r="AT39" s="13" t="str">
        <f t="shared" ca="1" si="26"/>
        <v/>
      </c>
      <c r="AU39" s="13" t="str">
        <f t="shared" ca="1" si="26"/>
        <v/>
      </c>
      <c r="AV39" s="13" t="str">
        <f t="shared" ca="1" si="26"/>
        <v/>
      </c>
      <c r="AW39" s="13" t="str">
        <f t="shared" ca="1" si="26"/>
        <v/>
      </c>
      <c r="AX39" s="13" t="str">
        <f t="shared" ca="1" si="26"/>
        <v/>
      </c>
      <c r="AY39" s="13" t="str">
        <f t="shared" ca="1" si="26"/>
        <v/>
      </c>
      <c r="AZ39" s="13" t="str">
        <f t="shared" ca="1" si="26"/>
        <v/>
      </c>
      <c r="BA39" s="13" t="str">
        <f t="shared" ca="1" si="26"/>
        <v/>
      </c>
      <c r="BB39" s="13" t="str">
        <f t="shared" ca="1" si="26"/>
        <v/>
      </c>
      <c r="BC39" s="13" t="str">
        <f t="shared" ca="1" si="26"/>
        <v/>
      </c>
      <c r="BD39" s="13" t="str">
        <f t="shared" ca="1" si="26"/>
        <v/>
      </c>
      <c r="BE39" s="13" t="str">
        <f t="shared" ca="1" si="26"/>
        <v/>
      </c>
      <c r="BF39" s="13" t="str">
        <f t="shared" ca="1" si="26"/>
        <v/>
      </c>
      <c r="BG39" s="13" t="str">
        <f t="shared" ca="1" si="26"/>
        <v/>
      </c>
      <c r="BH39" s="13" t="str">
        <f t="shared" ca="1" si="26"/>
        <v/>
      </c>
      <c r="BI39" s="13" t="str">
        <f t="shared" ca="1" si="26"/>
        <v/>
      </c>
      <c r="BJ39" s="13" t="str">
        <f t="shared" ca="1" si="26"/>
        <v/>
      </c>
      <c r="BK39" s="13" t="str">
        <f t="shared" ca="1" si="26"/>
        <v/>
      </c>
      <c r="BL39" s="13" t="str">
        <f t="shared" ca="1" si="26"/>
        <v/>
      </c>
      <c r="BM39" s="13" t="str">
        <f t="shared" ca="1" si="26"/>
        <v/>
      </c>
      <c r="BN39" s="13" t="str">
        <f t="shared" ca="1" si="26"/>
        <v/>
      </c>
      <c r="BO39" s="13" t="str">
        <f t="shared" ca="1" si="26"/>
        <v/>
      </c>
      <c r="BP39" s="13" t="str">
        <f t="shared" ref="BP39:CY39" ca="1" si="27">_xlfn.IFS(BP$2="","",ISERROR(INDIRECT("'"&amp;BP$2&amp;"'!$B$1")),INDIRECT("'"&amp;BP$2&amp;"'!$B$1"),BP$2&lt;&gt;"",BP$2)</f>
        <v/>
      </c>
      <c r="BQ39" s="13" t="str">
        <f t="shared" ca="1" si="27"/>
        <v/>
      </c>
      <c r="BR39" s="13" t="str">
        <f t="shared" ca="1" si="27"/>
        <v/>
      </c>
      <c r="BS39" s="13" t="str">
        <f t="shared" ca="1" si="27"/>
        <v/>
      </c>
      <c r="BT39" s="13" t="str">
        <f t="shared" ca="1" si="27"/>
        <v/>
      </c>
      <c r="BU39" s="13" t="str">
        <f t="shared" ca="1" si="27"/>
        <v/>
      </c>
      <c r="BV39" s="13" t="str">
        <f t="shared" ca="1" si="27"/>
        <v/>
      </c>
      <c r="BW39" s="13" t="str">
        <f t="shared" ca="1" si="27"/>
        <v/>
      </c>
      <c r="BX39" s="13" t="str">
        <f t="shared" ca="1" si="27"/>
        <v/>
      </c>
      <c r="BY39" s="13" t="str">
        <f t="shared" ca="1" si="27"/>
        <v/>
      </c>
      <c r="BZ39" s="13" t="str">
        <f t="shared" ca="1" si="27"/>
        <v/>
      </c>
      <c r="CA39" s="13" t="str">
        <f t="shared" ca="1" si="27"/>
        <v/>
      </c>
      <c r="CB39" s="13" t="str">
        <f t="shared" ca="1" si="27"/>
        <v/>
      </c>
      <c r="CC39" s="13" t="str">
        <f t="shared" ca="1" si="27"/>
        <v/>
      </c>
      <c r="CD39" s="13" t="str">
        <f t="shared" ca="1" si="27"/>
        <v/>
      </c>
      <c r="CE39" s="13" t="str">
        <f t="shared" ca="1" si="27"/>
        <v/>
      </c>
      <c r="CF39" s="13" t="str">
        <f t="shared" ca="1" si="27"/>
        <v/>
      </c>
      <c r="CG39" s="13" t="str">
        <f t="shared" ca="1" si="27"/>
        <v/>
      </c>
      <c r="CH39" s="13" t="str">
        <f t="shared" ca="1" si="27"/>
        <v/>
      </c>
      <c r="CI39" s="13" t="str">
        <f t="shared" ca="1" si="27"/>
        <v/>
      </c>
      <c r="CJ39" s="13" t="str">
        <f t="shared" ca="1" si="27"/>
        <v/>
      </c>
      <c r="CK39" s="13" t="str">
        <f t="shared" ca="1" si="27"/>
        <v/>
      </c>
      <c r="CL39" s="13" t="str">
        <f t="shared" ca="1" si="27"/>
        <v/>
      </c>
      <c r="CM39" s="13" t="str">
        <f t="shared" ca="1" si="27"/>
        <v/>
      </c>
      <c r="CN39" s="13" t="str">
        <f t="shared" ca="1" si="27"/>
        <v/>
      </c>
      <c r="CO39" s="13" t="str">
        <f t="shared" ca="1" si="27"/>
        <v/>
      </c>
      <c r="CP39" s="13" t="str">
        <f t="shared" ca="1" si="27"/>
        <v/>
      </c>
      <c r="CQ39" s="13" t="str">
        <f t="shared" ca="1" si="27"/>
        <v/>
      </c>
      <c r="CR39" s="13" t="str">
        <f t="shared" ca="1" si="27"/>
        <v/>
      </c>
      <c r="CS39" s="13" t="str">
        <f t="shared" ca="1" si="27"/>
        <v/>
      </c>
      <c r="CT39" s="13" t="str">
        <f t="shared" ca="1" si="27"/>
        <v/>
      </c>
      <c r="CU39" s="13" t="str">
        <f t="shared" ca="1" si="27"/>
        <v/>
      </c>
      <c r="CV39" s="13" t="str">
        <f t="shared" ca="1" si="27"/>
        <v/>
      </c>
      <c r="CW39" s="13" t="str">
        <f t="shared" ca="1" si="27"/>
        <v/>
      </c>
      <c r="CX39" s="13" t="str">
        <f t="shared" ca="1" si="27"/>
        <v/>
      </c>
      <c r="CY39" s="13" t="str">
        <f t="shared" ca="1" si="27"/>
        <v/>
      </c>
    </row>
    <row r="40" spans="1:103" outlineLevel="1">
      <c r="A40" s="7" t="s">
        <v>8</v>
      </c>
      <c r="B40" s="16"/>
      <c r="C40" s="16"/>
      <c r="D40" s="17">
        <f ca="1">IF(D$16&lt;&gt;"",SUMPRODUCT((INDIRECT("'"&amp;D$16&amp;"'!A2:A1000")=$A40)*(INDIRECT("'"&amp;D$16&amp;"'!D2:D1000")&lt;&gt;INDIRECT("'"&amp;D$16&amp;"'!E2:E1000"))),"")</f>
        <v>0</v>
      </c>
      <c r="E40" s="17" t="str">
        <f t="shared" ref="E40:BP40" ca="1" si="28">IF(E$16&lt;&gt;"",SUMPRODUCT((INDIRECT("'"&amp;E$16&amp;"'!A2:A1000")=$A40)*(INDIRECT("'"&amp;E$16&amp;"'!D2:D1000")&lt;&gt;INDIRECT("'"&amp;E$16&amp;"'!E2:E1000"))),"")</f>
        <v/>
      </c>
      <c r="F40" s="17" t="str">
        <f t="shared" ca="1" si="28"/>
        <v/>
      </c>
      <c r="G40" s="17" t="str">
        <f t="shared" ca="1" si="28"/>
        <v/>
      </c>
      <c r="H40" s="17" t="str">
        <f t="shared" ca="1" si="28"/>
        <v/>
      </c>
      <c r="I40" s="17" t="str">
        <f t="shared" ca="1" si="28"/>
        <v/>
      </c>
      <c r="J40" s="17" t="str">
        <f t="shared" ca="1" si="28"/>
        <v/>
      </c>
      <c r="K40" s="17" t="str">
        <f t="shared" ca="1" si="28"/>
        <v/>
      </c>
      <c r="L40" s="17" t="str">
        <f t="shared" ca="1" si="28"/>
        <v/>
      </c>
      <c r="M40" s="17" t="str">
        <f t="shared" ca="1" si="28"/>
        <v/>
      </c>
      <c r="N40" s="17" t="str">
        <f t="shared" ca="1" si="28"/>
        <v/>
      </c>
      <c r="O40" s="17" t="str">
        <f t="shared" ca="1" si="28"/>
        <v/>
      </c>
      <c r="P40" s="17" t="str">
        <f t="shared" ca="1" si="28"/>
        <v/>
      </c>
      <c r="Q40" s="17" t="str">
        <f t="shared" ca="1" si="28"/>
        <v/>
      </c>
      <c r="R40" s="17" t="str">
        <f t="shared" ca="1" si="28"/>
        <v/>
      </c>
      <c r="S40" s="17" t="str">
        <f t="shared" ca="1" si="28"/>
        <v/>
      </c>
      <c r="T40" s="17" t="str">
        <f t="shared" ca="1" si="28"/>
        <v/>
      </c>
      <c r="U40" s="17" t="str">
        <f t="shared" ca="1" si="28"/>
        <v/>
      </c>
      <c r="V40" s="17" t="str">
        <f t="shared" ca="1" si="28"/>
        <v/>
      </c>
      <c r="W40" s="17" t="str">
        <f t="shared" ca="1" si="28"/>
        <v/>
      </c>
      <c r="X40" s="17" t="str">
        <f t="shared" ca="1" si="28"/>
        <v/>
      </c>
      <c r="Y40" s="17" t="str">
        <f t="shared" ca="1" si="28"/>
        <v/>
      </c>
      <c r="Z40" s="17" t="str">
        <f t="shared" ca="1" si="28"/>
        <v/>
      </c>
      <c r="AA40" s="17" t="str">
        <f t="shared" ca="1" si="28"/>
        <v/>
      </c>
      <c r="AB40" s="17" t="str">
        <f t="shared" ca="1" si="28"/>
        <v/>
      </c>
      <c r="AC40" s="17" t="str">
        <f t="shared" ca="1" si="28"/>
        <v/>
      </c>
      <c r="AD40" s="17" t="str">
        <f t="shared" ca="1" si="28"/>
        <v/>
      </c>
      <c r="AE40" s="17" t="str">
        <f t="shared" ca="1" si="28"/>
        <v/>
      </c>
      <c r="AF40" s="17" t="str">
        <f t="shared" ca="1" si="28"/>
        <v/>
      </c>
      <c r="AG40" s="17" t="str">
        <f t="shared" ca="1" si="28"/>
        <v/>
      </c>
      <c r="AH40" s="17" t="str">
        <f t="shared" ca="1" si="28"/>
        <v/>
      </c>
      <c r="AI40" s="17" t="str">
        <f t="shared" ca="1" si="28"/>
        <v/>
      </c>
      <c r="AJ40" s="17" t="str">
        <f t="shared" ca="1" si="28"/>
        <v/>
      </c>
      <c r="AK40" s="17" t="str">
        <f t="shared" ca="1" si="28"/>
        <v/>
      </c>
      <c r="AL40" s="17" t="str">
        <f t="shared" ca="1" si="28"/>
        <v/>
      </c>
      <c r="AM40" s="17" t="str">
        <f t="shared" ca="1" si="28"/>
        <v/>
      </c>
      <c r="AN40" s="17" t="str">
        <f t="shared" ca="1" si="28"/>
        <v/>
      </c>
      <c r="AO40" s="17" t="str">
        <f t="shared" ca="1" si="28"/>
        <v/>
      </c>
      <c r="AP40" s="17" t="str">
        <f t="shared" ca="1" si="28"/>
        <v/>
      </c>
      <c r="AQ40" s="17" t="str">
        <f t="shared" ca="1" si="28"/>
        <v/>
      </c>
      <c r="AR40" s="17" t="str">
        <f t="shared" ca="1" si="28"/>
        <v/>
      </c>
      <c r="AS40" s="17" t="str">
        <f t="shared" ca="1" si="28"/>
        <v/>
      </c>
      <c r="AT40" s="17" t="str">
        <f t="shared" ca="1" si="28"/>
        <v/>
      </c>
      <c r="AU40" s="17" t="str">
        <f t="shared" ca="1" si="28"/>
        <v/>
      </c>
      <c r="AV40" s="17" t="str">
        <f t="shared" ca="1" si="28"/>
        <v/>
      </c>
      <c r="AW40" s="17" t="str">
        <f t="shared" ca="1" si="28"/>
        <v/>
      </c>
      <c r="AX40" s="17" t="str">
        <f t="shared" ca="1" si="28"/>
        <v/>
      </c>
      <c r="AY40" s="17" t="str">
        <f t="shared" ca="1" si="28"/>
        <v/>
      </c>
      <c r="AZ40" s="17" t="str">
        <f t="shared" ca="1" si="28"/>
        <v/>
      </c>
      <c r="BA40" s="17" t="str">
        <f t="shared" ca="1" si="28"/>
        <v/>
      </c>
      <c r="BB40" s="17" t="str">
        <f t="shared" ca="1" si="28"/>
        <v/>
      </c>
      <c r="BC40" s="17" t="str">
        <f t="shared" ca="1" si="28"/>
        <v/>
      </c>
      <c r="BD40" s="17" t="str">
        <f t="shared" ca="1" si="28"/>
        <v/>
      </c>
      <c r="BE40" s="17" t="str">
        <f t="shared" ca="1" si="28"/>
        <v/>
      </c>
      <c r="BF40" s="17" t="str">
        <f t="shared" ca="1" si="28"/>
        <v/>
      </c>
      <c r="BG40" s="17" t="str">
        <f t="shared" ca="1" si="28"/>
        <v/>
      </c>
      <c r="BH40" s="17" t="str">
        <f t="shared" ca="1" si="28"/>
        <v/>
      </c>
      <c r="BI40" s="17" t="str">
        <f t="shared" ca="1" si="28"/>
        <v/>
      </c>
      <c r="BJ40" s="17" t="str">
        <f t="shared" ca="1" si="28"/>
        <v/>
      </c>
      <c r="BK40" s="17" t="str">
        <f t="shared" ca="1" si="28"/>
        <v/>
      </c>
      <c r="BL40" s="17" t="str">
        <f t="shared" ca="1" si="28"/>
        <v/>
      </c>
      <c r="BM40" s="17" t="str">
        <f t="shared" ca="1" si="28"/>
        <v/>
      </c>
      <c r="BN40" s="17" t="str">
        <f t="shared" ca="1" si="28"/>
        <v/>
      </c>
      <c r="BO40" s="17" t="str">
        <f t="shared" ca="1" si="28"/>
        <v/>
      </c>
      <c r="BP40" s="17" t="str">
        <f t="shared" ca="1" si="28"/>
        <v/>
      </c>
      <c r="BQ40" s="17" t="str">
        <f t="shared" ref="BQ40:CY42" ca="1" si="29">IF(BQ$16&lt;&gt;"",SUMPRODUCT((INDIRECT("'"&amp;BQ$16&amp;"'!A2:A1000")=$A40)*(INDIRECT("'"&amp;BQ$16&amp;"'!D2:D1000")&lt;&gt;INDIRECT("'"&amp;BQ$16&amp;"'!E2:E1000"))),"")</f>
        <v/>
      </c>
      <c r="BR40" s="17" t="str">
        <f t="shared" ca="1" si="29"/>
        <v/>
      </c>
      <c r="BS40" s="17" t="str">
        <f t="shared" ca="1" si="29"/>
        <v/>
      </c>
      <c r="BT40" s="17" t="str">
        <f t="shared" ca="1" si="29"/>
        <v/>
      </c>
      <c r="BU40" s="17" t="str">
        <f t="shared" ca="1" si="29"/>
        <v/>
      </c>
      <c r="BV40" s="17" t="str">
        <f t="shared" ca="1" si="29"/>
        <v/>
      </c>
      <c r="BW40" s="17" t="str">
        <f t="shared" ca="1" si="29"/>
        <v/>
      </c>
      <c r="BX40" s="17" t="str">
        <f t="shared" ca="1" si="29"/>
        <v/>
      </c>
      <c r="BY40" s="17" t="str">
        <f t="shared" ca="1" si="29"/>
        <v/>
      </c>
      <c r="BZ40" s="17" t="str">
        <f t="shared" ca="1" si="29"/>
        <v/>
      </c>
      <c r="CA40" s="17" t="str">
        <f t="shared" ca="1" si="29"/>
        <v/>
      </c>
      <c r="CB40" s="17" t="str">
        <f t="shared" ca="1" si="29"/>
        <v/>
      </c>
      <c r="CC40" s="17" t="str">
        <f t="shared" ca="1" si="29"/>
        <v/>
      </c>
      <c r="CD40" s="17" t="str">
        <f t="shared" ca="1" si="29"/>
        <v/>
      </c>
      <c r="CE40" s="17" t="str">
        <f t="shared" ca="1" si="29"/>
        <v/>
      </c>
      <c r="CF40" s="17" t="str">
        <f t="shared" ca="1" si="29"/>
        <v/>
      </c>
      <c r="CG40" s="17" t="str">
        <f t="shared" ca="1" si="29"/>
        <v/>
      </c>
      <c r="CH40" s="17" t="str">
        <f t="shared" ca="1" si="29"/>
        <v/>
      </c>
      <c r="CI40" s="17" t="str">
        <f t="shared" ca="1" si="29"/>
        <v/>
      </c>
      <c r="CJ40" s="17" t="str">
        <f t="shared" ca="1" si="29"/>
        <v/>
      </c>
      <c r="CK40" s="17" t="str">
        <f t="shared" ca="1" si="29"/>
        <v/>
      </c>
      <c r="CL40" s="17" t="str">
        <f t="shared" ca="1" si="29"/>
        <v/>
      </c>
      <c r="CM40" s="17" t="str">
        <f t="shared" ca="1" si="29"/>
        <v/>
      </c>
      <c r="CN40" s="17" t="str">
        <f t="shared" ca="1" si="29"/>
        <v/>
      </c>
      <c r="CO40" s="17" t="str">
        <f t="shared" ca="1" si="29"/>
        <v/>
      </c>
      <c r="CP40" s="17" t="str">
        <f t="shared" ca="1" si="29"/>
        <v/>
      </c>
      <c r="CQ40" s="17" t="str">
        <f t="shared" ca="1" si="29"/>
        <v/>
      </c>
      <c r="CR40" s="17" t="str">
        <f t="shared" ca="1" si="29"/>
        <v/>
      </c>
      <c r="CS40" s="17" t="str">
        <f t="shared" ca="1" si="29"/>
        <v/>
      </c>
      <c r="CT40" s="17" t="str">
        <f t="shared" ca="1" si="29"/>
        <v/>
      </c>
      <c r="CU40" s="17" t="str">
        <f t="shared" ca="1" si="29"/>
        <v/>
      </c>
      <c r="CV40" s="17" t="str">
        <f t="shared" ca="1" si="29"/>
        <v/>
      </c>
      <c r="CW40" s="17" t="str">
        <f t="shared" ca="1" si="29"/>
        <v/>
      </c>
      <c r="CX40" s="17" t="str">
        <f t="shared" ca="1" si="29"/>
        <v/>
      </c>
      <c r="CY40" s="17" t="str">
        <f t="shared" ca="1" si="29"/>
        <v/>
      </c>
    </row>
    <row r="41" spans="1:103" outlineLevel="1">
      <c r="A41" s="7" t="s">
        <v>9</v>
      </c>
      <c r="B41" s="16"/>
      <c r="C41" s="16"/>
      <c r="D41" s="17">
        <f t="shared" ref="D41:K43" ca="1" si="30">IF(D$16&lt;&gt;"",SUMPRODUCT((INDIRECT("'"&amp;D$16&amp;"'!A2:A1000")=$A41)*(INDIRECT("'"&amp;D$16&amp;"'!D2:D1000")&lt;&gt;INDIRECT("'"&amp;D$16&amp;"'!E2:E1000"))),"")</f>
        <v>0</v>
      </c>
      <c r="E41" s="17" t="str">
        <f t="shared" ca="1" si="30"/>
        <v/>
      </c>
      <c r="F41" s="17" t="str">
        <f t="shared" ca="1" si="30"/>
        <v/>
      </c>
      <c r="G41" s="17" t="str">
        <f t="shared" ca="1" si="30"/>
        <v/>
      </c>
      <c r="H41" s="17" t="str">
        <f t="shared" ca="1" si="30"/>
        <v/>
      </c>
      <c r="I41" s="17" t="str">
        <f t="shared" ca="1" si="30"/>
        <v/>
      </c>
      <c r="J41" s="17" t="str">
        <f t="shared" ca="1" si="30"/>
        <v/>
      </c>
      <c r="K41" s="17" t="str">
        <f t="shared" ca="1" si="30"/>
        <v/>
      </c>
      <c r="L41" s="17" t="str">
        <f t="shared" ref="L41:BW42" ca="1" si="31">IF(L$16&lt;&gt;"",SUMPRODUCT((INDIRECT("'"&amp;L$16&amp;"'!A2:A1000")=$A41)*(INDIRECT("'"&amp;L$16&amp;"'!D2:D1000")&lt;&gt;INDIRECT("'"&amp;L$16&amp;"'!E2:E1000"))),"")</f>
        <v/>
      </c>
      <c r="M41" s="17" t="str">
        <f t="shared" ca="1" si="31"/>
        <v/>
      </c>
      <c r="N41" s="17" t="str">
        <f t="shared" ca="1" si="31"/>
        <v/>
      </c>
      <c r="O41" s="17" t="str">
        <f t="shared" ca="1" si="31"/>
        <v/>
      </c>
      <c r="P41" s="17" t="str">
        <f t="shared" ca="1" si="31"/>
        <v/>
      </c>
      <c r="Q41" s="17" t="str">
        <f t="shared" ca="1" si="31"/>
        <v/>
      </c>
      <c r="R41" s="17" t="str">
        <f t="shared" ca="1" si="31"/>
        <v/>
      </c>
      <c r="S41" s="17" t="str">
        <f t="shared" ca="1" si="31"/>
        <v/>
      </c>
      <c r="T41" s="17" t="str">
        <f t="shared" ca="1" si="31"/>
        <v/>
      </c>
      <c r="U41" s="17" t="str">
        <f t="shared" ca="1" si="31"/>
        <v/>
      </c>
      <c r="V41" s="17" t="str">
        <f t="shared" ca="1" si="31"/>
        <v/>
      </c>
      <c r="W41" s="17" t="str">
        <f t="shared" ca="1" si="31"/>
        <v/>
      </c>
      <c r="X41" s="17" t="str">
        <f t="shared" ca="1" si="31"/>
        <v/>
      </c>
      <c r="Y41" s="17" t="str">
        <f t="shared" ca="1" si="31"/>
        <v/>
      </c>
      <c r="Z41" s="17" t="str">
        <f t="shared" ca="1" si="31"/>
        <v/>
      </c>
      <c r="AA41" s="17" t="str">
        <f t="shared" ca="1" si="31"/>
        <v/>
      </c>
      <c r="AB41" s="17" t="str">
        <f t="shared" ca="1" si="31"/>
        <v/>
      </c>
      <c r="AC41" s="17" t="str">
        <f t="shared" ca="1" si="31"/>
        <v/>
      </c>
      <c r="AD41" s="17" t="str">
        <f t="shared" ca="1" si="31"/>
        <v/>
      </c>
      <c r="AE41" s="17" t="str">
        <f t="shared" ca="1" si="31"/>
        <v/>
      </c>
      <c r="AF41" s="17" t="str">
        <f t="shared" ca="1" si="31"/>
        <v/>
      </c>
      <c r="AG41" s="17" t="str">
        <f t="shared" ca="1" si="31"/>
        <v/>
      </c>
      <c r="AH41" s="17" t="str">
        <f t="shared" ca="1" si="31"/>
        <v/>
      </c>
      <c r="AI41" s="17" t="str">
        <f t="shared" ca="1" si="31"/>
        <v/>
      </c>
      <c r="AJ41" s="17" t="str">
        <f t="shared" ca="1" si="31"/>
        <v/>
      </c>
      <c r="AK41" s="17" t="str">
        <f t="shared" ca="1" si="31"/>
        <v/>
      </c>
      <c r="AL41" s="17" t="str">
        <f t="shared" ca="1" si="31"/>
        <v/>
      </c>
      <c r="AM41" s="17" t="str">
        <f t="shared" ca="1" si="31"/>
        <v/>
      </c>
      <c r="AN41" s="17" t="str">
        <f t="shared" ca="1" si="31"/>
        <v/>
      </c>
      <c r="AO41" s="17" t="str">
        <f t="shared" ca="1" si="31"/>
        <v/>
      </c>
      <c r="AP41" s="17" t="str">
        <f t="shared" ca="1" si="31"/>
        <v/>
      </c>
      <c r="AQ41" s="17" t="str">
        <f t="shared" ca="1" si="31"/>
        <v/>
      </c>
      <c r="AR41" s="17" t="str">
        <f t="shared" ca="1" si="31"/>
        <v/>
      </c>
      <c r="AS41" s="17" t="str">
        <f t="shared" ca="1" si="31"/>
        <v/>
      </c>
      <c r="AT41" s="17" t="str">
        <f t="shared" ca="1" si="31"/>
        <v/>
      </c>
      <c r="AU41" s="17" t="str">
        <f t="shared" ca="1" si="31"/>
        <v/>
      </c>
      <c r="AV41" s="17" t="str">
        <f t="shared" ca="1" si="31"/>
        <v/>
      </c>
      <c r="AW41" s="17" t="str">
        <f t="shared" ca="1" si="31"/>
        <v/>
      </c>
      <c r="AX41" s="17" t="str">
        <f t="shared" ca="1" si="31"/>
        <v/>
      </c>
      <c r="AY41" s="17" t="str">
        <f t="shared" ca="1" si="31"/>
        <v/>
      </c>
      <c r="AZ41" s="17" t="str">
        <f t="shared" ca="1" si="31"/>
        <v/>
      </c>
      <c r="BA41" s="17" t="str">
        <f t="shared" ca="1" si="31"/>
        <v/>
      </c>
      <c r="BB41" s="17" t="str">
        <f t="shared" ca="1" si="31"/>
        <v/>
      </c>
      <c r="BC41" s="17" t="str">
        <f t="shared" ca="1" si="31"/>
        <v/>
      </c>
      <c r="BD41" s="17" t="str">
        <f t="shared" ca="1" si="31"/>
        <v/>
      </c>
      <c r="BE41" s="17" t="str">
        <f t="shared" ca="1" si="31"/>
        <v/>
      </c>
      <c r="BF41" s="17" t="str">
        <f t="shared" ca="1" si="31"/>
        <v/>
      </c>
      <c r="BG41" s="17" t="str">
        <f t="shared" ca="1" si="31"/>
        <v/>
      </c>
      <c r="BH41" s="17" t="str">
        <f t="shared" ca="1" si="31"/>
        <v/>
      </c>
      <c r="BI41" s="17" t="str">
        <f t="shared" ca="1" si="31"/>
        <v/>
      </c>
      <c r="BJ41" s="17" t="str">
        <f t="shared" ca="1" si="31"/>
        <v/>
      </c>
      <c r="BK41" s="17" t="str">
        <f t="shared" ca="1" si="31"/>
        <v/>
      </c>
      <c r="BL41" s="17" t="str">
        <f t="shared" ca="1" si="31"/>
        <v/>
      </c>
      <c r="BM41" s="17" t="str">
        <f t="shared" ca="1" si="31"/>
        <v/>
      </c>
      <c r="BN41" s="17" t="str">
        <f t="shared" ca="1" si="31"/>
        <v/>
      </c>
      <c r="BO41" s="17" t="str">
        <f t="shared" ca="1" si="31"/>
        <v/>
      </c>
      <c r="BP41" s="17" t="str">
        <f t="shared" ca="1" si="31"/>
        <v/>
      </c>
      <c r="BQ41" s="17" t="str">
        <f t="shared" ca="1" si="31"/>
        <v/>
      </c>
      <c r="BR41" s="17" t="str">
        <f t="shared" ca="1" si="31"/>
        <v/>
      </c>
      <c r="BS41" s="17" t="str">
        <f t="shared" ca="1" si="31"/>
        <v/>
      </c>
      <c r="BT41" s="17" t="str">
        <f t="shared" ca="1" si="31"/>
        <v/>
      </c>
      <c r="BU41" s="17" t="str">
        <f t="shared" ca="1" si="31"/>
        <v/>
      </c>
      <c r="BV41" s="17" t="str">
        <f t="shared" ca="1" si="31"/>
        <v/>
      </c>
      <c r="BW41" s="17" t="str">
        <f t="shared" ca="1" si="31"/>
        <v/>
      </c>
      <c r="BX41" s="17" t="str">
        <f t="shared" ca="1" si="29"/>
        <v/>
      </c>
      <c r="BY41" s="17" t="str">
        <f t="shared" ca="1" si="29"/>
        <v/>
      </c>
      <c r="BZ41" s="17" t="str">
        <f t="shared" ca="1" si="29"/>
        <v/>
      </c>
      <c r="CA41" s="17" t="str">
        <f t="shared" ca="1" si="29"/>
        <v/>
      </c>
      <c r="CB41" s="17" t="str">
        <f t="shared" ca="1" si="29"/>
        <v/>
      </c>
      <c r="CC41" s="17" t="str">
        <f t="shared" ca="1" si="29"/>
        <v/>
      </c>
      <c r="CD41" s="17" t="str">
        <f t="shared" ca="1" si="29"/>
        <v/>
      </c>
      <c r="CE41" s="17" t="str">
        <f t="shared" ca="1" si="29"/>
        <v/>
      </c>
      <c r="CF41" s="17" t="str">
        <f t="shared" ca="1" si="29"/>
        <v/>
      </c>
      <c r="CG41" s="17" t="str">
        <f t="shared" ca="1" si="29"/>
        <v/>
      </c>
      <c r="CH41" s="17" t="str">
        <f t="shared" ca="1" si="29"/>
        <v/>
      </c>
      <c r="CI41" s="17" t="str">
        <f t="shared" ca="1" si="29"/>
        <v/>
      </c>
      <c r="CJ41" s="17" t="str">
        <f t="shared" ca="1" si="29"/>
        <v/>
      </c>
      <c r="CK41" s="17" t="str">
        <f t="shared" ca="1" si="29"/>
        <v/>
      </c>
      <c r="CL41" s="17" t="str">
        <f t="shared" ca="1" si="29"/>
        <v/>
      </c>
      <c r="CM41" s="17" t="str">
        <f t="shared" ca="1" si="29"/>
        <v/>
      </c>
      <c r="CN41" s="17" t="str">
        <f t="shared" ca="1" si="29"/>
        <v/>
      </c>
      <c r="CO41" s="17" t="str">
        <f t="shared" ca="1" si="29"/>
        <v/>
      </c>
      <c r="CP41" s="17" t="str">
        <f t="shared" ca="1" si="29"/>
        <v/>
      </c>
      <c r="CQ41" s="17" t="str">
        <f t="shared" ca="1" si="29"/>
        <v/>
      </c>
      <c r="CR41" s="17" t="str">
        <f t="shared" ca="1" si="29"/>
        <v/>
      </c>
      <c r="CS41" s="17" t="str">
        <f t="shared" ca="1" si="29"/>
        <v/>
      </c>
      <c r="CT41" s="17" t="str">
        <f t="shared" ca="1" si="29"/>
        <v/>
      </c>
      <c r="CU41" s="17" t="str">
        <f t="shared" ca="1" si="29"/>
        <v/>
      </c>
      <c r="CV41" s="17" t="str">
        <f t="shared" ca="1" si="29"/>
        <v/>
      </c>
      <c r="CW41" s="17" t="str">
        <f t="shared" ca="1" si="29"/>
        <v/>
      </c>
      <c r="CX41" s="17" t="str">
        <f t="shared" ca="1" si="29"/>
        <v/>
      </c>
      <c r="CY41" s="17" t="str">
        <f t="shared" ca="1" si="29"/>
        <v/>
      </c>
    </row>
    <row r="42" spans="1:103" outlineLevel="1">
      <c r="A42" s="7" t="s">
        <v>10</v>
      </c>
      <c r="B42" s="16"/>
      <c r="C42" s="16"/>
      <c r="D42" s="17">
        <f t="shared" ca="1" si="30"/>
        <v>0</v>
      </c>
      <c r="E42" s="17" t="str">
        <f t="shared" ca="1" si="30"/>
        <v/>
      </c>
      <c r="F42" s="17" t="str">
        <f t="shared" ca="1" si="30"/>
        <v/>
      </c>
      <c r="G42" s="17" t="str">
        <f t="shared" ca="1" si="30"/>
        <v/>
      </c>
      <c r="H42" s="17" t="str">
        <f t="shared" ca="1" si="30"/>
        <v/>
      </c>
      <c r="I42" s="17" t="str">
        <f t="shared" ca="1" si="30"/>
        <v/>
      </c>
      <c r="J42" s="17" t="str">
        <f t="shared" ca="1" si="30"/>
        <v/>
      </c>
      <c r="K42" s="17" t="str">
        <f t="shared" ca="1" si="30"/>
        <v/>
      </c>
      <c r="L42" s="17" t="str">
        <f t="shared" ca="1" si="31"/>
        <v/>
      </c>
      <c r="M42" s="17" t="str">
        <f t="shared" ca="1" si="31"/>
        <v/>
      </c>
      <c r="N42" s="17" t="str">
        <f t="shared" ca="1" si="31"/>
        <v/>
      </c>
      <c r="O42" s="17" t="str">
        <f t="shared" ca="1" si="31"/>
        <v/>
      </c>
      <c r="P42" s="17" t="str">
        <f t="shared" ca="1" si="31"/>
        <v/>
      </c>
      <c r="Q42" s="17" t="str">
        <f t="shared" ca="1" si="31"/>
        <v/>
      </c>
      <c r="R42" s="17" t="str">
        <f t="shared" ca="1" si="31"/>
        <v/>
      </c>
      <c r="S42" s="17" t="str">
        <f t="shared" ca="1" si="31"/>
        <v/>
      </c>
      <c r="T42" s="17" t="str">
        <f t="shared" ca="1" si="31"/>
        <v/>
      </c>
      <c r="U42" s="17" t="str">
        <f t="shared" ca="1" si="31"/>
        <v/>
      </c>
      <c r="V42" s="17" t="str">
        <f t="shared" ca="1" si="31"/>
        <v/>
      </c>
      <c r="W42" s="17" t="str">
        <f t="shared" ca="1" si="31"/>
        <v/>
      </c>
      <c r="X42" s="17" t="str">
        <f t="shared" ca="1" si="31"/>
        <v/>
      </c>
      <c r="Y42" s="17" t="str">
        <f t="shared" ca="1" si="31"/>
        <v/>
      </c>
      <c r="Z42" s="17" t="str">
        <f t="shared" ca="1" si="31"/>
        <v/>
      </c>
      <c r="AA42" s="17" t="str">
        <f t="shared" ca="1" si="31"/>
        <v/>
      </c>
      <c r="AB42" s="17" t="str">
        <f t="shared" ca="1" si="31"/>
        <v/>
      </c>
      <c r="AC42" s="17" t="str">
        <f t="shared" ca="1" si="31"/>
        <v/>
      </c>
      <c r="AD42" s="17" t="str">
        <f t="shared" ca="1" si="31"/>
        <v/>
      </c>
      <c r="AE42" s="17" t="str">
        <f t="shared" ca="1" si="31"/>
        <v/>
      </c>
      <c r="AF42" s="17" t="str">
        <f t="shared" ca="1" si="31"/>
        <v/>
      </c>
      <c r="AG42" s="17" t="str">
        <f t="shared" ca="1" si="31"/>
        <v/>
      </c>
      <c r="AH42" s="17" t="str">
        <f t="shared" ca="1" si="31"/>
        <v/>
      </c>
      <c r="AI42" s="17" t="str">
        <f t="shared" ca="1" si="31"/>
        <v/>
      </c>
      <c r="AJ42" s="17" t="str">
        <f t="shared" ca="1" si="31"/>
        <v/>
      </c>
      <c r="AK42" s="17" t="str">
        <f t="shared" ca="1" si="31"/>
        <v/>
      </c>
      <c r="AL42" s="17" t="str">
        <f t="shared" ca="1" si="31"/>
        <v/>
      </c>
      <c r="AM42" s="17" t="str">
        <f t="shared" ca="1" si="31"/>
        <v/>
      </c>
      <c r="AN42" s="17" t="str">
        <f t="shared" ca="1" si="31"/>
        <v/>
      </c>
      <c r="AO42" s="17" t="str">
        <f t="shared" ca="1" si="31"/>
        <v/>
      </c>
      <c r="AP42" s="17" t="str">
        <f t="shared" ca="1" si="31"/>
        <v/>
      </c>
      <c r="AQ42" s="17" t="str">
        <f t="shared" ca="1" si="31"/>
        <v/>
      </c>
      <c r="AR42" s="17" t="str">
        <f t="shared" ca="1" si="31"/>
        <v/>
      </c>
      <c r="AS42" s="17" t="str">
        <f t="shared" ca="1" si="31"/>
        <v/>
      </c>
      <c r="AT42" s="17" t="str">
        <f t="shared" ca="1" si="31"/>
        <v/>
      </c>
      <c r="AU42" s="17" t="str">
        <f t="shared" ca="1" si="31"/>
        <v/>
      </c>
      <c r="AV42" s="17" t="str">
        <f t="shared" ca="1" si="31"/>
        <v/>
      </c>
      <c r="AW42" s="17" t="str">
        <f t="shared" ca="1" si="31"/>
        <v/>
      </c>
      <c r="AX42" s="17" t="str">
        <f t="shared" ca="1" si="31"/>
        <v/>
      </c>
      <c r="AY42" s="17" t="str">
        <f t="shared" ca="1" si="31"/>
        <v/>
      </c>
      <c r="AZ42" s="17" t="str">
        <f t="shared" ca="1" si="31"/>
        <v/>
      </c>
      <c r="BA42" s="17" t="str">
        <f t="shared" ca="1" si="31"/>
        <v/>
      </c>
      <c r="BB42" s="17" t="str">
        <f t="shared" ca="1" si="31"/>
        <v/>
      </c>
      <c r="BC42" s="17" t="str">
        <f t="shared" ca="1" si="31"/>
        <v/>
      </c>
      <c r="BD42" s="17" t="str">
        <f t="shared" ca="1" si="31"/>
        <v/>
      </c>
      <c r="BE42" s="17" t="str">
        <f t="shared" ca="1" si="31"/>
        <v/>
      </c>
      <c r="BF42" s="17" t="str">
        <f t="shared" ca="1" si="31"/>
        <v/>
      </c>
      <c r="BG42" s="17" t="str">
        <f t="shared" ca="1" si="31"/>
        <v/>
      </c>
      <c r="BH42" s="17" t="str">
        <f t="shared" ca="1" si="31"/>
        <v/>
      </c>
      <c r="BI42" s="17" t="str">
        <f t="shared" ca="1" si="31"/>
        <v/>
      </c>
      <c r="BJ42" s="17" t="str">
        <f t="shared" ca="1" si="31"/>
        <v/>
      </c>
      <c r="BK42" s="17" t="str">
        <f t="shared" ca="1" si="31"/>
        <v/>
      </c>
      <c r="BL42" s="17" t="str">
        <f t="shared" ca="1" si="31"/>
        <v/>
      </c>
      <c r="BM42" s="17" t="str">
        <f t="shared" ca="1" si="31"/>
        <v/>
      </c>
      <c r="BN42" s="17" t="str">
        <f t="shared" ca="1" si="31"/>
        <v/>
      </c>
      <c r="BO42" s="17" t="str">
        <f t="shared" ca="1" si="31"/>
        <v/>
      </c>
      <c r="BP42" s="17" t="str">
        <f t="shared" ca="1" si="31"/>
        <v/>
      </c>
      <c r="BQ42" s="17" t="str">
        <f t="shared" ca="1" si="31"/>
        <v/>
      </c>
      <c r="BR42" s="17" t="str">
        <f t="shared" ca="1" si="31"/>
        <v/>
      </c>
      <c r="BS42" s="17" t="str">
        <f t="shared" ca="1" si="31"/>
        <v/>
      </c>
      <c r="BT42" s="17" t="str">
        <f t="shared" ca="1" si="31"/>
        <v/>
      </c>
      <c r="BU42" s="17" t="str">
        <f t="shared" ca="1" si="31"/>
        <v/>
      </c>
      <c r="BV42" s="17" t="str">
        <f t="shared" ca="1" si="31"/>
        <v/>
      </c>
      <c r="BW42" s="17" t="str">
        <f t="shared" ca="1" si="31"/>
        <v/>
      </c>
      <c r="BX42" s="17" t="str">
        <f t="shared" ca="1" si="29"/>
        <v/>
      </c>
      <c r="BY42" s="17" t="str">
        <f t="shared" ca="1" si="29"/>
        <v/>
      </c>
      <c r="BZ42" s="17" t="str">
        <f t="shared" ca="1" si="29"/>
        <v/>
      </c>
      <c r="CA42" s="17" t="str">
        <f t="shared" ca="1" si="29"/>
        <v/>
      </c>
      <c r="CB42" s="17" t="str">
        <f t="shared" ca="1" si="29"/>
        <v/>
      </c>
      <c r="CC42" s="17" t="str">
        <f t="shared" ca="1" si="29"/>
        <v/>
      </c>
      <c r="CD42" s="17" t="str">
        <f t="shared" ca="1" si="29"/>
        <v/>
      </c>
      <c r="CE42" s="17" t="str">
        <f t="shared" ca="1" si="29"/>
        <v/>
      </c>
      <c r="CF42" s="17" t="str">
        <f t="shared" ca="1" si="29"/>
        <v/>
      </c>
      <c r="CG42" s="17" t="str">
        <f t="shared" ca="1" si="29"/>
        <v/>
      </c>
      <c r="CH42" s="17" t="str">
        <f t="shared" ca="1" si="29"/>
        <v/>
      </c>
      <c r="CI42" s="17" t="str">
        <f t="shared" ca="1" si="29"/>
        <v/>
      </c>
      <c r="CJ42" s="17" t="str">
        <f t="shared" ca="1" si="29"/>
        <v/>
      </c>
      <c r="CK42" s="17" t="str">
        <f t="shared" ca="1" si="29"/>
        <v/>
      </c>
      <c r="CL42" s="17" t="str">
        <f t="shared" ca="1" si="29"/>
        <v/>
      </c>
      <c r="CM42" s="17" t="str">
        <f t="shared" ca="1" si="29"/>
        <v/>
      </c>
      <c r="CN42" s="17" t="str">
        <f t="shared" ca="1" si="29"/>
        <v/>
      </c>
      <c r="CO42" s="17" t="str">
        <f t="shared" ca="1" si="29"/>
        <v/>
      </c>
      <c r="CP42" s="17" t="str">
        <f t="shared" ca="1" si="29"/>
        <v/>
      </c>
      <c r="CQ42" s="17" t="str">
        <f t="shared" ca="1" si="29"/>
        <v/>
      </c>
      <c r="CR42" s="17" t="str">
        <f t="shared" ca="1" si="29"/>
        <v/>
      </c>
      <c r="CS42" s="17" t="str">
        <f t="shared" ca="1" si="29"/>
        <v/>
      </c>
      <c r="CT42" s="17" t="str">
        <f t="shared" ca="1" si="29"/>
        <v/>
      </c>
      <c r="CU42" s="17" t="str">
        <f t="shared" ca="1" si="29"/>
        <v/>
      </c>
      <c r="CV42" s="17" t="str">
        <f t="shared" ca="1" si="29"/>
        <v/>
      </c>
      <c r="CW42" s="17" t="str">
        <f t="shared" ca="1" si="29"/>
        <v/>
      </c>
      <c r="CX42" s="17" t="str">
        <f t="shared" ca="1" si="29"/>
        <v/>
      </c>
      <c r="CY42" s="17" t="str">
        <f t="shared" ca="1" si="29"/>
        <v/>
      </c>
    </row>
    <row r="43" spans="1:103" s="45" customFormat="1" outlineLevel="1">
      <c r="A43" s="45" t="s">
        <v>387</v>
      </c>
      <c r="D43" s="17">
        <f t="shared" ca="1" si="30"/>
        <v>0</v>
      </c>
    </row>
    <row r="47" spans="1:103" ht="34.5" customHeight="1" outlineLevel="1">
      <c r="A47" s="3" t="s">
        <v>297</v>
      </c>
      <c r="B47" s="15"/>
      <c r="C47" s="15"/>
      <c r="D47" s="13" t="str">
        <f t="shared" ref="D47:BO47" ca="1" si="32">_xlfn.IFS(D$2="","",ISERROR(INDIRECT("'"&amp;D$2&amp;"'!$B$1")),INDIRECT("'"&amp;D$2&amp;"'!$B$1"),D$2&lt;&gt;"",D$2)</f>
        <v>IST Stand &lt;Datum&gt;</v>
      </c>
      <c r="E47" s="13" t="str">
        <f t="shared" ca="1" si="32"/>
        <v/>
      </c>
      <c r="F47" s="13" t="str">
        <f t="shared" ca="1" si="32"/>
        <v/>
      </c>
      <c r="G47" s="13" t="str">
        <f t="shared" ca="1" si="32"/>
        <v/>
      </c>
      <c r="H47" s="13" t="str">
        <f t="shared" ca="1" si="32"/>
        <v/>
      </c>
      <c r="I47" s="13" t="str">
        <f t="shared" ca="1" si="32"/>
        <v/>
      </c>
      <c r="J47" s="13" t="str">
        <f t="shared" ca="1" si="32"/>
        <v/>
      </c>
      <c r="K47" s="13" t="str">
        <f t="shared" ca="1" si="32"/>
        <v/>
      </c>
      <c r="L47" s="13" t="str">
        <f t="shared" ca="1" si="32"/>
        <v/>
      </c>
      <c r="M47" s="13" t="str">
        <f t="shared" ca="1" si="32"/>
        <v/>
      </c>
      <c r="N47" s="13" t="str">
        <f t="shared" ca="1" si="32"/>
        <v/>
      </c>
      <c r="O47" s="13" t="str">
        <f t="shared" ca="1" si="32"/>
        <v/>
      </c>
      <c r="P47" s="13" t="str">
        <f t="shared" ca="1" si="32"/>
        <v/>
      </c>
      <c r="Q47" s="13" t="str">
        <f t="shared" ca="1" si="32"/>
        <v/>
      </c>
      <c r="R47" s="13" t="str">
        <f t="shared" ca="1" si="32"/>
        <v/>
      </c>
      <c r="S47" s="13" t="str">
        <f t="shared" ca="1" si="32"/>
        <v/>
      </c>
      <c r="T47" s="13" t="str">
        <f t="shared" ca="1" si="32"/>
        <v/>
      </c>
      <c r="U47" s="13" t="str">
        <f t="shared" ca="1" si="32"/>
        <v/>
      </c>
      <c r="V47" s="13" t="str">
        <f t="shared" ca="1" si="32"/>
        <v/>
      </c>
      <c r="W47" s="13" t="str">
        <f t="shared" ca="1" si="32"/>
        <v/>
      </c>
      <c r="X47" s="13" t="str">
        <f t="shared" ca="1" si="32"/>
        <v/>
      </c>
      <c r="Y47" s="13" t="str">
        <f t="shared" ca="1" si="32"/>
        <v/>
      </c>
      <c r="Z47" s="13" t="str">
        <f t="shared" ca="1" si="32"/>
        <v/>
      </c>
      <c r="AA47" s="13" t="str">
        <f t="shared" ca="1" si="32"/>
        <v/>
      </c>
      <c r="AB47" s="13" t="str">
        <f t="shared" ca="1" si="32"/>
        <v/>
      </c>
      <c r="AC47" s="13" t="str">
        <f t="shared" ca="1" si="32"/>
        <v/>
      </c>
      <c r="AD47" s="13" t="str">
        <f t="shared" ca="1" si="32"/>
        <v/>
      </c>
      <c r="AE47" s="13" t="str">
        <f t="shared" ca="1" si="32"/>
        <v/>
      </c>
      <c r="AF47" s="13" t="str">
        <f t="shared" ca="1" si="32"/>
        <v/>
      </c>
      <c r="AG47" s="13" t="str">
        <f t="shared" ca="1" si="32"/>
        <v/>
      </c>
      <c r="AH47" s="13" t="str">
        <f t="shared" ca="1" si="32"/>
        <v/>
      </c>
      <c r="AI47" s="13" t="str">
        <f t="shared" ca="1" si="32"/>
        <v/>
      </c>
      <c r="AJ47" s="13" t="str">
        <f t="shared" ca="1" si="32"/>
        <v/>
      </c>
      <c r="AK47" s="13" t="str">
        <f t="shared" ca="1" si="32"/>
        <v/>
      </c>
      <c r="AL47" s="13" t="str">
        <f t="shared" ca="1" si="32"/>
        <v/>
      </c>
      <c r="AM47" s="13" t="str">
        <f t="shared" ca="1" si="32"/>
        <v/>
      </c>
      <c r="AN47" s="13" t="str">
        <f t="shared" ca="1" si="32"/>
        <v/>
      </c>
      <c r="AO47" s="13" t="str">
        <f t="shared" ca="1" si="32"/>
        <v/>
      </c>
      <c r="AP47" s="13" t="str">
        <f t="shared" ca="1" si="32"/>
        <v/>
      </c>
      <c r="AQ47" s="13" t="str">
        <f t="shared" ca="1" si="32"/>
        <v/>
      </c>
      <c r="AR47" s="13" t="str">
        <f t="shared" ca="1" si="32"/>
        <v/>
      </c>
      <c r="AS47" s="13" t="str">
        <f t="shared" ca="1" si="32"/>
        <v/>
      </c>
      <c r="AT47" s="13" t="str">
        <f t="shared" ca="1" si="32"/>
        <v/>
      </c>
      <c r="AU47" s="13" t="str">
        <f t="shared" ca="1" si="32"/>
        <v/>
      </c>
      <c r="AV47" s="13" t="str">
        <f t="shared" ca="1" si="32"/>
        <v/>
      </c>
      <c r="AW47" s="13" t="str">
        <f t="shared" ca="1" si="32"/>
        <v/>
      </c>
      <c r="AX47" s="13" t="str">
        <f t="shared" ca="1" si="32"/>
        <v/>
      </c>
      <c r="AY47" s="13" t="str">
        <f t="shared" ca="1" si="32"/>
        <v/>
      </c>
      <c r="AZ47" s="13" t="str">
        <f t="shared" ca="1" si="32"/>
        <v/>
      </c>
      <c r="BA47" s="13" t="str">
        <f t="shared" ca="1" si="32"/>
        <v/>
      </c>
      <c r="BB47" s="13" t="str">
        <f t="shared" ca="1" si="32"/>
        <v/>
      </c>
      <c r="BC47" s="13" t="str">
        <f t="shared" ca="1" si="32"/>
        <v/>
      </c>
      <c r="BD47" s="13" t="str">
        <f t="shared" ca="1" si="32"/>
        <v/>
      </c>
      <c r="BE47" s="13" t="str">
        <f t="shared" ca="1" si="32"/>
        <v/>
      </c>
      <c r="BF47" s="13" t="str">
        <f t="shared" ca="1" si="32"/>
        <v/>
      </c>
      <c r="BG47" s="13" t="str">
        <f t="shared" ca="1" si="32"/>
        <v/>
      </c>
      <c r="BH47" s="13" t="str">
        <f t="shared" ca="1" si="32"/>
        <v/>
      </c>
      <c r="BI47" s="13" t="str">
        <f t="shared" ca="1" si="32"/>
        <v/>
      </c>
      <c r="BJ47" s="13" t="str">
        <f t="shared" ca="1" si="32"/>
        <v/>
      </c>
      <c r="BK47" s="13" t="str">
        <f t="shared" ca="1" si="32"/>
        <v/>
      </c>
      <c r="BL47" s="13" t="str">
        <f t="shared" ca="1" si="32"/>
        <v/>
      </c>
      <c r="BM47" s="13" t="str">
        <f t="shared" ca="1" si="32"/>
        <v/>
      </c>
      <c r="BN47" s="13" t="str">
        <f t="shared" ca="1" si="32"/>
        <v/>
      </c>
      <c r="BO47" s="13" t="str">
        <f t="shared" ca="1" si="32"/>
        <v/>
      </c>
      <c r="BP47" s="13" t="str">
        <f t="shared" ref="BP47:CY47" ca="1" si="33">_xlfn.IFS(BP$2="","",ISERROR(INDIRECT("'"&amp;BP$2&amp;"'!$B$1")),INDIRECT("'"&amp;BP$2&amp;"'!$B$1"),BP$2&lt;&gt;"",BP$2)</f>
        <v/>
      </c>
      <c r="BQ47" s="13" t="str">
        <f t="shared" ca="1" si="33"/>
        <v/>
      </c>
      <c r="BR47" s="13" t="str">
        <f t="shared" ca="1" si="33"/>
        <v/>
      </c>
      <c r="BS47" s="13" t="str">
        <f t="shared" ca="1" si="33"/>
        <v/>
      </c>
      <c r="BT47" s="13" t="str">
        <f t="shared" ca="1" si="33"/>
        <v/>
      </c>
      <c r="BU47" s="13" t="str">
        <f t="shared" ca="1" si="33"/>
        <v/>
      </c>
      <c r="BV47" s="13" t="str">
        <f t="shared" ca="1" si="33"/>
        <v/>
      </c>
      <c r="BW47" s="13" t="str">
        <f t="shared" ca="1" si="33"/>
        <v/>
      </c>
      <c r="BX47" s="13" t="str">
        <f t="shared" ca="1" si="33"/>
        <v/>
      </c>
      <c r="BY47" s="13" t="str">
        <f t="shared" ca="1" si="33"/>
        <v/>
      </c>
      <c r="BZ47" s="13" t="str">
        <f t="shared" ca="1" si="33"/>
        <v/>
      </c>
      <c r="CA47" s="13" t="str">
        <f t="shared" ca="1" si="33"/>
        <v/>
      </c>
      <c r="CB47" s="13" t="str">
        <f t="shared" ca="1" si="33"/>
        <v/>
      </c>
      <c r="CC47" s="13" t="str">
        <f t="shared" ca="1" si="33"/>
        <v/>
      </c>
      <c r="CD47" s="13" t="str">
        <f t="shared" ca="1" si="33"/>
        <v/>
      </c>
      <c r="CE47" s="13" t="str">
        <f t="shared" ca="1" si="33"/>
        <v/>
      </c>
      <c r="CF47" s="13" t="str">
        <f t="shared" ca="1" si="33"/>
        <v/>
      </c>
      <c r="CG47" s="13" t="str">
        <f t="shared" ca="1" si="33"/>
        <v/>
      </c>
      <c r="CH47" s="13" t="str">
        <f t="shared" ca="1" si="33"/>
        <v/>
      </c>
      <c r="CI47" s="13" t="str">
        <f t="shared" ca="1" si="33"/>
        <v/>
      </c>
      <c r="CJ47" s="13" t="str">
        <f t="shared" ca="1" si="33"/>
        <v/>
      </c>
      <c r="CK47" s="13" t="str">
        <f t="shared" ca="1" si="33"/>
        <v/>
      </c>
      <c r="CL47" s="13" t="str">
        <f t="shared" ca="1" si="33"/>
        <v/>
      </c>
      <c r="CM47" s="13" t="str">
        <f t="shared" ca="1" si="33"/>
        <v/>
      </c>
      <c r="CN47" s="13" t="str">
        <f t="shared" ca="1" si="33"/>
        <v/>
      </c>
      <c r="CO47" s="13" t="str">
        <f t="shared" ca="1" si="33"/>
        <v/>
      </c>
      <c r="CP47" s="13" t="str">
        <f t="shared" ca="1" si="33"/>
        <v/>
      </c>
      <c r="CQ47" s="13" t="str">
        <f t="shared" ca="1" si="33"/>
        <v/>
      </c>
      <c r="CR47" s="13" t="str">
        <f t="shared" ca="1" si="33"/>
        <v/>
      </c>
      <c r="CS47" s="13" t="str">
        <f t="shared" ca="1" si="33"/>
        <v/>
      </c>
      <c r="CT47" s="13" t="str">
        <f t="shared" ca="1" si="33"/>
        <v/>
      </c>
      <c r="CU47" s="13" t="str">
        <f t="shared" ca="1" si="33"/>
        <v/>
      </c>
      <c r="CV47" s="13" t="str">
        <f t="shared" ca="1" si="33"/>
        <v/>
      </c>
      <c r="CW47" s="13" t="str">
        <f t="shared" ca="1" si="33"/>
        <v/>
      </c>
      <c r="CX47" s="13" t="str">
        <f t="shared" ca="1" si="33"/>
        <v/>
      </c>
      <c r="CY47" s="13" t="str">
        <f t="shared" ca="1" si="33"/>
        <v/>
      </c>
    </row>
    <row r="48" spans="1:103" s="45" customFormat="1">
      <c r="A48" s="46" t="s">
        <v>8</v>
      </c>
      <c r="D48" s="45">
        <f ca="1">IF(D3="","",MIN(10,MAX(0,ROUND(D3*10,0))))</f>
        <v>0</v>
      </c>
      <c r="E48" s="45" t="str">
        <f t="shared" ref="E48:BP49" ca="1" si="34">IF(E3="","",MIN(10,MAX(0,ROUND(E3*10,0))))</f>
        <v/>
      </c>
      <c r="F48" s="45" t="str">
        <f t="shared" ca="1" si="34"/>
        <v/>
      </c>
      <c r="G48" s="45" t="str">
        <f t="shared" ca="1" si="34"/>
        <v/>
      </c>
      <c r="H48" s="45" t="str">
        <f t="shared" ca="1" si="34"/>
        <v/>
      </c>
      <c r="I48" s="45" t="str">
        <f t="shared" ca="1" si="34"/>
        <v/>
      </c>
      <c r="J48" s="45" t="str">
        <f t="shared" ca="1" si="34"/>
        <v/>
      </c>
      <c r="K48" s="45" t="str">
        <f t="shared" ca="1" si="34"/>
        <v/>
      </c>
      <c r="L48" s="45" t="str">
        <f t="shared" ca="1" si="34"/>
        <v/>
      </c>
      <c r="M48" s="45" t="str">
        <f t="shared" ca="1" si="34"/>
        <v/>
      </c>
      <c r="N48" s="45" t="str">
        <f t="shared" ca="1" si="34"/>
        <v/>
      </c>
      <c r="O48" s="45" t="str">
        <f t="shared" ca="1" si="34"/>
        <v/>
      </c>
      <c r="P48" s="45" t="str">
        <f t="shared" ca="1" si="34"/>
        <v/>
      </c>
      <c r="Q48" s="45" t="str">
        <f t="shared" ca="1" si="34"/>
        <v/>
      </c>
      <c r="R48" s="45" t="str">
        <f t="shared" ca="1" si="34"/>
        <v/>
      </c>
      <c r="S48" s="45" t="str">
        <f t="shared" ca="1" si="34"/>
        <v/>
      </c>
      <c r="T48" s="45" t="str">
        <f t="shared" ca="1" si="34"/>
        <v/>
      </c>
      <c r="U48" s="45" t="str">
        <f t="shared" ca="1" si="34"/>
        <v/>
      </c>
      <c r="V48" s="45" t="str">
        <f t="shared" ca="1" si="34"/>
        <v/>
      </c>
      <c r="W48" s="45" t="str">
        <f t="shared" ca="1" si="34"/>
        <v/>
      </c>
      <c r="X48" s="45" t="str">
        <f t="shared" ca="1" si="34"/>
        <v/>
      </c>
      <c r="Y48" s="45" t="str">
        <f t="shared" ca="1" si="34"/>
        <v/>
      </c>
      <c r="Z48" s="45" t="str">
        <f t="shared" ca="1" si="34"/>
        <v/>
      </c>
      <c r="AA48" s="45" t="str">
        <f t="shared" ca="1" si="34"/>
        <v/>
      </c>
      <c r="AB48" s="45" t="str">
        <f t="shared" ca="1" si="34"/>
        <v/>
      </c>
      <c r="AC48" s="45" t="str">
        <f t="shared" ca="1" si="34"/>
        <v/>
      </c>
      <c r="AD48" s="45" t="str">
        <f t="shared" ca="1" si="34"/>
        <v/>
      </c>
      <c r="AE48" s="45" t="str">
        <f t="shared" ca="1" si="34"/>
        <v/>
      </c>
      <c r="AF48" s="45" t="str">
        <f t="shared" ca="1" si="34"/>
        <v/>
      </c>
      <c r="AG48" s="45" t="str">
        <f t="shared" ca="1" si="34"/>
        <v/>
      </c>
      <c r="AH48" s="45" t="str">
        <f t="shared" ca="1" si="34"/>
        <v/>
      </c>
      <c r="AI48" s="45" t="str">
        <f t="shared" ca="1" si="34"/>
        <v/>
      </c>
      <c r="AJ48" s="45" t="str">
        <f t="shared" ca="1" si="34"/>
        <v/>
      </c>
      <c r="AK48" s="45" t="str">
        <f t="shared" ca="1" si="34"/>
        <v/>
      </c>
      <c r="AL48" s="45" t="str">
        <f t="shared" ca="1" si="34"/>
        <v/>
      </c>
      <c r="AM48" s="45" t="str">
        <f t="shared" ca="1" si="34"/>
        <v/>
      </c>
      <c r="AN48" s="45" t="str">
        <f t="shared" ca="1" si="34"/>
        <v/>
      </c>
      <c r="AO48" s="45" t="str">
        <f t="shared" ca="1" si="34"/>
        <v/>
      </c>
      <c r="AP48" s="45" t="str">
        <f t="shared" ca="1" si="34"/>
        <v/>
      </c>
      <c r="AQ48" s="45" t="str">
        <f t="shared" ca="1" si="34"/>
        <v/>
      </c>
      <c r="AR48" s="45" t="str">
        <f t="shared" ca="1" si="34"/>
        <v/>
      </c>
      <c r="AS48" s="45" t="str">
        <f t="shared" ca="1" si="34"/>
        <v/>
      </c>
      <c r="AT48" s="45" t="str">
        <f t="shared" ca="1" si="34"/>
        <v/>
      </c>
      <c r="AU48" s="45" t="str">
        <f t="shared" ca="1" si="34"/>
        <v/>
      </c>
      <c r="AV48" s="45" t="str">
        <f t="shared" ca="1" si="34"/>
        <v/>
      </c>
      <c r="AW48" s="45" t="str">
        <f t="shared" ca="1" si="34"/>
        <v/>
      </c>
      <c r="AX48" s="45" t="str">
        <f t="shared" ca="1" si="34"/>
        <v/>
      </c>
      <c r="AY48" s="45" t="str">
        <f t="shared" ca="1" si="34"/>
        <v/>
      </c>
      <c r="AZ48" s="45" t="str">
        <f t="shared" ca="1" si="34"/>
        <v/>
      </c>
      <c r="BA48" s="45" t="str">
        <f t="shared" ca="1" si="34"/>
        <v/>
      </c>
      <c r="BB48" s="45" t="str">
        <f t="shared" ca="1" si="34"/>
        <v/>
      </c>
      <c r="BC48" s="45" t="str">
        <f t="shared" ca="1" si="34"/>
        <v/>
      </c>
      <c r="BD48" s="45" t="str">
        <f t="shared" ca="1" si="34"/>
        <v/>
      </c>
      <c r="BE48" s="45" t="str">
        <f t="shared" ca="1" si="34"/>
        <v/>
      </c>
      <c r="BF48" s="45" t="str">
        <f t="shared" ca="1" si="34"/>
        <v/>
      </c>
      <c r="BG48" s="45" t="str">
        <f t="shared" ca="1" si="34"/>
        <v/>
      </c>
      <c r="BH48" s="45" t="str">
        <f t="shared" ca="1" si="34"/>
        <v/>
      </c>
      <c r="BI48" s="45" t="str">
        <f t="shared" ca="1" si="34"/>
        <v/>
      </c>
      <c r="BJ48" s="45" t="str">
        <f t="shared" ca="1" si="34"/>
        <v/>
      </c>
      <c r="BK48" s="45" t="str">
        <f t="shared" ca="1" si="34"/>
        <v/>
      </c>
      <c r="BL48" s="45" t="str">
        <f t="shared" ca="1" si="34"/>
        <v/>
      </c>
      <c r="BM48" s="45" t="str">
        <f t="shared" ca="1" si="34"/>
        <v/>
      </c>
      <c r="BN48" s="45" t="str">
        <f t="shared" ca="1" si="34"/>
        <v/>
      </c>
      <c r="BO48" s="45" t="str">
        <f t="shared" ca="1" si="34"/>
        <v/>
      </c>
      <c r="BP48" s="45" t="str">
        <f t="shared" ca="1" si="34"/>
        <v/>
      </c>
      <c r="BQ48" s="45" t="str">
        <f t="shared" ref="BQ48:CY51" ca="1" si="35">IF(BQ3="","",MIN(10,MAX(0,ROUND(BQ3*10,0))))</f>
        <v/>
      </c>
      <c r="BR48" s="45" t="str">
        <f t="shared" ca="1" si="35"/>
        <v/>
      </c>
      <c r="BS48" s="45" t="str">
        <f t="shared" ca="1" si="35"/>
        <v/>
      </c>
      <c r="BT48" s="45" t="str">
        <f t="shared" ca="1" si="35"/>
        <v/>
      </c>
      <c r="BU48" s="45" t="str">
        <f t="shared" ca="1" si="35"/>
        <v/>
      </c>
      <c r="BV48" s="45" t="str">
        <f t="shared" ca="1" si="35"/>
        <v/>
      </c>
      <c r="BW48" s="45" t="str">
        <f t="shared" ca="1" si="35"/>
        <v/>
      </c>
      <c r="BX48" s="45" t="str">
        <f t="shared" ca="1" si="35"/>
        <v/>
      </c>
      <c r="BY48" s="45" t="str">
        <f t="shared" ca="1" si="35"/>
        <v/>
      </c>
      <c r="BZ48" s="45" t="str">
        <f t="shared" ca="1" si="35"/>
        <v/>
      </c>
      <c r="CA48" s="45" t="str">
        <f t="shared" ca="1" si="35"/>
        <v/>
      </c>
      <c r="CB48" s="45" t="str">
        <f t="shared" ca="1" si="35"/>
        <v/>
      </c>
      <c r="CC48" s="45" t="str">
        <f t="shared" ca="1" si="35"/>
        <v/>
      </c>
      <c r="CD48" s="45" t="str">
        <f t="shared" ca="1" si="35"/>
        <v/>
      </c>
      <c r="CE48" s="45" t="str">
        <f t="shared" ca="1" si="35"/>
        <v/>
      </c>
      <c r="CF48" s="45" t="str">
        <f t="shared" ca="1" si="35"/>
        <v/>
      </c>
      <c r="CG48" s="45" t="str">
        <f t="shared" ca="1" si="35"/>
        <v/>
      </c>
      <c r="CH48" s="45" t="str">
        <f t="shared" ca="1" si="35"/>
        <v/>
      </c>
      <c r="CI48" s="45" t="str">
        <f t="shared" ca="1" si="35"/>
        <v/>
      </c>
      <c r="CJ48" s="45" t="str">
        <f t="shared" ca="1" si="35"/>
        <v/>
      </c>
      <c r="CK48" s="45" t="str">
        <f t="shared" ca="1" si="35"/>
        <v/>
      </c>
      <c r="CL48" s="45" t="str">
        <f t="shared" ca="1" si="35"/>
        <v/>
      </c>
      <c r="CM48" s="45" t="str">
        <f t="shared" ca="1" si="35"/>
        <v/>
      </c>
      <c r="CN48" s="45" t="str">
        <f t="shared" ca="1" si="35"/>
        <v/>
      </c>
      <c r="CO48" s="45" t="str">
        <f t="shared" ca="1" si="35"/>
        <v/>
      </c>
      <c r="CP48" s="45" t="str">
        <f t="shared" ca="1" si="35"/>
        <v/>
      </c>
      <c r="CQ48" s="45" t="str">
        <f t="shared" ca="1" si="35"/>
        <v/>
      </c>
      <c r="CR48" s="45" t="str">
        <f t="shared" ca="1" si="35"/>
        <v/>
      </c>
      <c r="CS48" s="45" t="str">
        <f t="shared" ca="1" si="35"/>
        <v/>
      </c>
      <c r="CT48" s="45" t="str">
        <f t="shared" ca="1" si="35"/>
        <v/>
      </c>
      <c r="CU48" s="45" t="str">
        <f t="shared" ca="1" si="35"/>
        <v/>
      </c>
      <c r="CV48" s="45" t="str">
        <f t="shared" ca="1" si="35"/>
        <v/>
      </c>
      <c r="CW48" s="45" t="str">
        <f t="shared" ca="1" si="35"/>
        <v/>
      </c>
      <c r="CX48" s="45" t="str">
        <f t="shared" ca="1" si="35"/>
        <v/>
      </c>
      <c r="CY48" s="45" t="str">
        <f t="shared" ca="1" si="35"/>
        <v/>
      </c>
    </row>
    <row r="49" spans="1:103" s="45" customFormat="1">
      <c r="A49" s="46" t="s">
        <v>9</v>
      </c>
      <c r="D49" s="45">
        <f t="shared" ref="D49:S50" ca="1" si="36">IF(D4="","",MIN(10,MAX(0,ROUND(D4*10,0))))</f>
        <v>0</v>
      </c>
      <c r="E49" s="45" t="str">
        <f t="shared" ca="1" si="36"/>
        <v/>
      </c>
      <c r="F49" s="45" t="str">
        <f t="shared" ca="1" si="36"/>
        <v/>
      </c>
      <c r="G49" s="45" t="str">
        <f t="shared" ca="1" si="36"/>
        <v/>
      </c>
      <c r="H49" s="45" t="str">
        <f t="shared" ca="1" si="36"/>
        <v/>
      </c>
      <c r="I49" s="45" t="str">
        <f t="shared" ca="1" si="36"/>
        <v/>
      </c>
      <c r="J49" s="45" t="str">
        <f t="shared" ca="1" si="36"/>
        <v/>
      </c>
      <c r="K49" s="45" t="str">
        <f t="shared" ca="1" si="36"/>
        <v/>
      </c>
      <c r="L49" s="45" t="str">
        <f t="shared" ca="1" si="36"/>
        <v/>
      </c>
      <c r="M49" s="45" t="str">
        <f t="shared" ca="1" si="36"/>
        <v/>
      </c>
      <c r="N49" s="45" t="str">
        <f t="shared" ca="1" si="36"/>
        <v/>
      </c>
      <c r="O49" s="45" t="str">
        <f t="shared" ca="1" si="36"/>
        <v/>
      </c>
      <c r="P49" s="45" t="str">
        <f t="shared" ca="1" si="36"/>
        <v/>
      </c>
      <c r="Q49" s="45" t="str">
        <f t="shared" ca="1" si="36"/>
        <v/>
      </c>
      <c r="R49" s="45" t="str">
        <f t="shared" ca="1" si="36"/>
        <v/>
      </c>
      <c r="S49" s="45" t="str">
        <f t="shared" ca="1" si="36"/>
        <v/>
      </c>
      <c r="T49" s="45" t="str">
        <f t="shared" ca="1" si="34"/>
        <v/>
      </c>
      <c r="U49" s="45" t="str">
        <f t="shared" ca="1" si="34"/>
        <v/>
      </c>
      <c r="V49" s="45" t="str">
        <f t="shared" ca="1" si="34"/>
        <v/>
      </c>
      <c r="W49" s="45" t="str">
        <f t="shared" ca="1" si="34"/>
        <v/>
      </c>
      <c r="X49" s="45" t="str">
        <f t="shared" ca="1" si="34"/>
        <v/>
      </c>
      <c r="Y49" s="45" t="str">
        <f t="shared" ca="1" si="34"/>
        <v/>
      </c>
      <c r="Z49" s="45" t="str">
        <f t="shared" ca="1" si="34"/>
        <v/>
      </c>
      <c r="AA49" s="45" t="str">
        <f t="shared" ca="1" si="34"/>
        <v/>
      </c>
      <c r="AB49" s="45" t="str">
        <f t="shared" ca="1" si="34"/>
        <v/>
      </c>
      <c r="AC49" s="45" t="str">
        <f t="shared" ca="1" si="34"/>
        <v/>
      </c>
      <c r="AD49" s="45" t="str">
        <f t="shared" ca="1" si="34"/>
        <v/>
      </c>
      <c r="AE49" s="45" t="str">
        <f t="shared" ca="1" si="34"/>
        <v/>
      </c>
      <c r="AF49" s="45" t="str">
        <f t="shared" ca="1" si="34"/>
        <v/>
      </c>
      <c r="AG49" s="45" t="str">
        <f t="shared" ca="1" si="34"/>
        <v/>
      </c>
      <c r="AH49" s="45" t="str">
        <f t="shared" ca="1" si="34"/>
        <v/>
      </c>
      <c r="AI49" s="45" t="str">
        <f t="shared" ca="1" si="34"/>
        <v/>
      </c>
      <c r="AJ49" s="45" t="str">
        <f t="shared" ca="1" si="34"/>
        <v/>
      </c>
      <c r="AK49" s="45" t="str">
        <f t="shared" ca="1" si="34"/>
        <v/>
      </c>
      <c r="AL49" s="45" t="str">
        <f t="shared" ca="1" si="34"/>
        <v/>
      </c>
      <c r="AM49" s="45" t="str">
        <f t="shared" ca="1" si="34"/>
        <v/>
      </c>
      <c r="AN49" s="45" t="str">
        <f t="shared" ca="1" si="34"/>
        <v/>
      </c>
      <c r="AO49" s="45" t="str">
        <f t="shared" ca="1" si="34"/>
        <v/>
      </c>
      <c r="AP49" s="45" t="str">
        <f t="shared" ca="1" si="34"/>
        <v/>
      </c>
      <c r="AQ49" s="45" t="str">
        <f t="shared" ca="1" si="34"/>
        <v/>
      </c>
      <c r="AR49" s="45" t="str">
        <f t="shared" ca="1" si="34"/>
        <v/>
      </c>
      <c r="AS49" s="45" t="str">
        <f t="shared" ca="1" si="34"/>
        <v/>
      </c>
      <c r="AT49" s="45" t="str">
        <f t="shared" ca="1" si="34"/>
        <v/>
      </c>
      <c r="AU49" s="45" t="str">
        <f t="shared" ca="1" si="34"/>
        <v/>
      </c>
      <c r="AV49" s="45" t="str">
        <f t="shared" ca="1" si="34"/>
        <v/>
      </c>
      <c r="AW49" s="45" t="str">
        <f t="shared" ca="1" si="34"/>
        <v/>
      </c>
      <c r="AX49" s="45" t="str">
        <f t="shared" ca="1" si="34"/>
        <v/>
      </c>
      <c r="AY49" s="45" t="str">
        <f t="shared" ca="1" si="34"/>
        <v/>
      </c>
      <c r="AZ49" s="45" t="str">
        <f t="shared" ca="1" si="34"/>
        <v/>
      </c>
      <c r="BA49" s="45" t="str">
        <f t="shared" ca="1" si="34"/>
        <v/>
      </c>
      <c r="BB49" s="45" t="str">
        <f t="shared" ca="1" si="34"/>
        <v/>
      </c>
      <c r="BC49" s="45" t="str">
        <f t="shared" ca="1" si="34"/>
        <v/>
      </c>
      <c r="BD49" s="45" t="str">
        <f t="shared" ca="1" si="34"/>
        <v/>
      </c>
      <c r="BE49" s="45" t="str">
        <f t="shared" ca="1" si="34"/>
        <v/>
      </c>
      <c r="BF49" s="45" t="str">
        <f t="shared" ca="1" si="34"/>
        <v/>
      </c>
      <c r="BG49" s="45" t="str">
        <f t="shared" ca="1" si="34"/>
        <v/>
      </c>
      <c r="BH49" s="45" t="str">
        <f t="shared" ca="1" si="34"/>
        <v/>
      </c>
      <c r="BI49" s="45" t="str">
        <f t="shared" ca="1" si="34"/>
        <v/>
      </c>
      <c r="BJ49" s="45" t="str">
        <f t="shared" ca="1" si="34"/>
        <v/>
      </c>
      <c r="BK49" s="45" t="str">
        <f t="shared" ca="1" si="34"/>
        <v/>
      </c>
      <c r="BL49" s="45" t="str">
        <f t="shared" ca="1" si="34"/>
        <v/>
      </c>
      <c r="BM49" s="45" t="str">
        <f t="shared" ca="1" si="34"/>
        <v/>
      </c>
      <c r="BN49" s="45" t="str">
        <f t="shared" ca="1" si="34"/>
        <v/>
      </c>
      <c r="BO49" s="45" t="str">
        <f t="shared" ca="1" si="34"/>
        <v/>
      </c>
      <c r="BP49" s="45" t="str">
        <f t="shared" ca="1" si="34"/>
        <v/>
      </c>
      <c r="BQ49" s="45" t="str">
        <f t="shared" ca="1" si="35"/>
        <v/>
      </c>
      <c r="BR49" s="45" t="str">
        <f t="shared" ca="1" si="35"/>
        <v/>
      </c>
      <c r="BS49" s="45" t="str">
        <f t="shared" ca="1" si="35"/>
        <v/>
      </c>
      <c r="BT49" s="45" t="str">
        <f t="shared" ca="1" si="35"/>
        <v/>
      </c>
      <c r="BU49" s="45" t="str">
        <f t="shared" ca="1" si="35"/>
        <v/>
      </c>
      <c r="BV49" s="45" t="str">
        <f t="shared" ca="1" si="35"/>
        <v/>
      </c>
      <c r="BW49" s="45" t="str">
        <f t="shared" ca="1" si="35"/>
        <v/>
      </c>
      <c r="BX49" s="45" t="str">
        <f t="shared" ca="1" si="35"/>
        <v/>
      </c>
      <c r="BY49" s="45" t="str">
        <f t="shared" ca="1" si="35"/>
        <v/>
      </c>
      <c r="BZ49" s="45" t="str">
        <f t="shared" ca="1" si="35"/>
        <v/>
      </c>
      <c r="CA49" s="45" t="str">
        <f t="shared" ca="1" si="35"/>
        <v/>
      </c>
      <c r="CB49" s="45" t="str">
        <f t="shared" ca="1" si="35"/>
        <v/>
      </c>
      <c r="CC49" s="45" t="str">
        <f t="shared" ca="1" si="35"/>
        <v/>
      </c>
      <c r="CD49" s="45" t="str">
        <f t="shared" ca="1" si="35"/>
        <v/>
      </c>
      <c r="CE49" s="45" t="str">
        <f t="shared" ca="1" si="35"/>
        <v/>
      </c>
      <c r="CF49" s="45" t="str">
        <f t="shared" ca="1" si="35"/>
        <v/>
      </c>
      <c r="CG49" s="45" t="str">
        <f t="shared" ca="1" si="35"/>
        <v/>
      </c>
      <c r="CH49" s="45" t="str">
        <f t="shared" ca="1" si="35"/>
        <v/>
      </c>
      <c r="CI49" s="45" t="str">
        <f t="shared" ca="1" si="35"/>
        <v/>
      </c>
      <c r="CJ49" s="45" t="str">
        <f t="shared" ca="1" si="35"/>
        <v/>
      </c>
      <c r="CK49" s="45" t="str">
        <f t="shared" ca="1" si="35"/>
        <v/>
      </c>
      <c r="CL49" s="45" t="str">
        <f t="shared" ca="1" si="35"/>
        <v/>
      </c>
      <c r="CM49" s="45" t="str">
        <f t="shared" ca="1" si="35"/>
        <v/>
      </c>
      <c r="CN49" s="45" t="str">
        <f t="shared" ca="1" si="35"/>
        <v/>
      </c>
      <c r="CO49" s="45" t="str">
        <f t="shared" ca="1" si="35"/>
        <v/>
      </c>
      <c r="CP49" s="45" t="str">
        <f t="shared" ca="1" si="35"/>
        <v/>
      </c>
      <c r="CQ49" s="45" t="str">
        <f t="shared" ca="1" si="35"/>
        <v/>
      </c>
      <c r="CR49" s="45" t="str">
        <f t="shared" ca="1" si="35"/>
        <v/>
      </c>
      <c r="CS49" s="45" t="str">
        <f t="shared" ca="1" si="35"/>
        <v/>
      </c>
      <c r="CT49" s="45" t="str">
        <f t="shared" ca="1" si="35"/>
        <v/>
      </c>
      <c r="CU49" s="45" t="str">
        <f t="shared" ca="1" si="35"/>
        <v/>
      </c>
      <c r="CV49" s="45" t="str">
        <f t="shared" ca="1" si="35"/>
        <v/>
      </c>
      <c r="CW49" s="45" t="str">
        <f t="shared" ca="1" si="35"/>
        <v/>
      </c>
      <c r="CX49" s="45" t="str">
        <f t="shared" ca="1" si="35"/>
        <v/>
      </c>
      <c r="CY49" s="45" t="str">
        <f t="shared" ca="1" si="35"/>
        <v/>
      </c>
    </row>
    <row r="50" spans="1:103" s="45" customFormat="1">
      <c r="A50" s="47" t="s">
        <v>298</v>
      </c>
      <c r="D50" s="45">
        <f t="shared" ca="1" si="36"/>
        <v>0</v>
      </c>
      <c r="E50" s="45" t="str">
        <f t="shared" ref="E50:BP51" ca="1" si="37">IF(E5="","",MIN(10,MAX(0,ROUND(E5*10,0))))</f>
        <v/>
      </c>
      <c r="F50" s="45" t="str">
        <f t="shared" ca="1" si="37"/>
        <v/>
      </c>
      <c r="G50" s="45" t="str">
        <f t="shared" ca="1" si="37"/>
        <v/>
      </c>
      <c r="H50" s="45" t="str">
        <f t="shared" ca="1" si="37"/>
        <v/>
      </c>
      <c r="I50" s="45" t="str">
        <f t="shared" ca="1" si="37"/>
        <v/>
      </c>
      <c r="J50" s="45" t="str">
        <f t="shared" ca="1" si="37"/>
        <v/>
      </c>
      <c r="K50" s="45" t="str">
        <f t="shared" ca="1" si="37"/>
        <v/>
      </c>
      <c r="L50" s="45" t="str">
        <f t="shared" ca="1" si="37"/>
        <v/>
      </c>
      <c r="M50" s="45" t="str">
        <f t="shared" ca="1" si="37"/>
        <v/>
      </c>
      <c r="N50" s="45" t="str">
        <f t="shared" ca="1" si="37"/>
        <v/>
      </c>
      <c r="O50" s="45" t="str">
        <f t="shared" ca="1" si="37"/>
        <v/>
      </c>
      <c r="P50" s="45" t="str">
        <f t="shared" ca="1" si="37"/>
        <v/>
      </c>
      <c r="Q50" s="45" t="str">
        <f t="shared" ca="1" si="37"/>
        <v/>
      </c>
      <c r="R50" s="45" t="str">
        <f t="shared" ca="1" si="37"/>
        <v/>
      </c>
      <c r="S50" s="45" t="str">
        <f t="shared" ca="1" si="37"/>
        <v/>
      </c>
      <c r="T50" s="45" t="str">
        <f t="shared" ca="1" si="37"/>
        <v/>
      </c>
      <c r="U50" s="45" t="str">
        <f t="shared" ca="1" si="37"/>
        <v/>
      </c>
      <c r="V50" s="45" t="str">
        <f t="shared" ca="1" si="37"/>
        <v/>
      </c>
      <c r="W50" s="45" t="str">
        <f t="shared" ca="1" si="37"/>
        <v/>
      </c>
      <c r="X50" s="45" t="str">
        <f t="shared" ca="1" si="37"/>
        <v/>
      </c>
      <c r="Y50" s="45" t="str">
        <f t="shared" ca="1" si="37"/>
        <v/>
      </c>
      <c r="Z50" s="45" t="str">
        <f t="shared" ca="1" si="37"/>
        <v/>
      </c>
      <c r="AA50" s="45" t="str">
        <f t="shared" ca="1" si="37"/>
        <v/>
      </c>
      <c r="AB50" s="45" t="str">
        <f t="shared" ca="1" si="37"/>
        <v/>
      </c>
      <c r="AC50" s="45" t="str">
        <f t="shared" ca="1" si="37"/>
        <v/>
      </c>
      <c r="AD50" s="45" t="str">
        <f t="shared" ca="1" si="37"/>
        <v/>
      </c>
      <c r="AE50" s="45" t="str">
        <f t="shared" ca="1" si="37"/>
        <v/>
      </c>
      <c r="AF50" s="45" t="str">
        <f t="shared" ca="1" si="37"/>
        <v/>
      </c>
      <c r="AG50" s="45" t="str">
        <f t="shared" ca="1" si="37"/>
        <v/>
      </c>
      <c r="AH50" s="45" t="str">
        <f t="shared" ca="1" si="37"/>
        <v/>
      </c>
      <c r="AI50" s="45" t="str">
        <f t="shared" ca="1" si="37"/>
        <v/>
      </c>
      <c r="AJ50" s="45" t="str">
        <f t="shared" ca="1" si="37"/>
        <v/>
      </c>
      <c r="AK50" s="45" t="str">
        <f t="shared" ca="1" si="37"/>
        <v/>
      </c>
      <c r="AL50" s="45" t="str">
        <f t="shared" ca="1" si="37"/>
        <v/>
      </c>
      <c r="AM50" s="45" t="str">
        <f t="shared" ca="1" si="37"/>
        <v/>
      </c>
      <c r="AN50" s="45" t="str">
        <f t="shared" ca="1" si="37"/>
        <v/>
      </c>
      <c r="AO50" s="45" t="str">
        <f t="shared" ca="1" si="37"/>
        <v/>
      </c>
      <c r="AP50" s="45" t="str">
        <f t="shared" ca="1" si="37"/>
        <v/>
      </c>
      <c r="AQ50" s="45" t="str">
        <f t="shared" ca="1" si="37"/>
        <v/>
      </c>
      <c r="AR50" s="45" t="str">
        <f t="shared" ca="1" si="37"/>
        <v/>
      </c>
      <c r="AS50" s="45" t="str">
        <f t="shared" ca="1" si="37"/>
        <v/>
      </c>
      <c r="AT50" s="45" t="str">
        <f t="shared" ca="1" si="37"/>
        <v/>
      </c>
      <c r="AU50" s="45" t="str">
        <f t="shared" ca="1" si="37"/>
        <v/>
      </c>
      <c r="AV50" s="45" t="str">
        <f t="shared" ca="1" si="37"/>
        <v/>
      </c>
      <c r="AW50" s="45" t="str">
        <f t="shared" ca="1" si="37"/>
        <v/>
      </c>
      <c r="AX50" s="45" t="str">
        <f t="shared" ca="1" si="37"/>
        <v/>
      </c>
      <c r="AY50" s="45" t="str">
        <f t="shared" ca="1" si="37"/>
        <v/>
      </c>
      <c r="AZ50" s="45" t="str">
        <f t="shared" ca="1" si="37"/>
        <v/>
      </c>
      <c r="BA50" s="45" t="str">
        <f t="shared" ca="1" si="37"/>
        <v/>
      </c>
      <c r="BB50" s="45" t="str">
        <f t="shared" ca="1" si="37"/>
        <v/>
      </c>
      <c r="BC50" s="45" t="str">
        <f t="shared" ca="1" si="37"/>
        <v/>
      </c>
      <c r="BD50" s="45" t="str">
        <f t="shared" ca="1" si="37"/>
        <v/>
      </c>
      <c r="BE50" s="45" t="str">
        <f t="shared" ca="1" si="37"/>
        <v/>
      </c>
      <c r="BF50" s="45" t="str">
        <f t="shared" ca="1" si="37"/>
        <v/>
      </c>
      <c r="BG50" s="45" t="str">
        <f t="shared" ca="1" si="37"/>
        <v/>
      </c>
      <c r="BH50" s="45" t="str">
        <f t="shared" ca="1" si="37"/>
        <v/>
      </c>
      <c r="BI50" s="45" t="str">
        <f t="shared" ca="1" si="37"/>
        <v/>
      </c>
      <c r="BJ50" s="45" t="str">
        <f t="shared" ca="1" si="37"/>
        <v/>
      </c>
      <c r="BK50" s="45" t="str">
        <f t="shared" ca="1" si="37"/>
        <v/>
      </c>
      <c r="BL50" s="45" t="str">
        <f t="shared" ca="1" si="37"/>
        <v/>
      </c>
      <c r="BM50" s="45" t="str">
        <f t="shared" ca="1" si="37"/>
        <v/>
      </c>
      <c r="BN50" s="45" t="str">
        <f t="shared" ca="1" si="37"/>
        <v/>
      </c>
      <c r="BO50" s="45" t="str">
        <f t="shared" ca="1" si="37"/>
        <v/>
      </c>
      <c r="BP50" s="45" t="str">
        <f t="shared" ca="1" si="37"/>
        <v/>
      </c>
      <c r="BQ50" s="45" t="str">
        <f t="shared" ca="1" si="35"/>
        <v/>
      </c>
      <c r="BR50" s="45" t="str">
        <f t="shared" ca="1" si="35"/>
        <v/>
      </c>
      <c r="BS50" s="45" t="str">
        <f t="shared" ca="1" si="35"/>
        <v/>
      </c>
      <c r="BT50" s="45" t="str">
        <f t="shared" ca="1" si="35"/>
        <v/>
      </c>
      <c r="BU50" s="45" t="str">
        <f t="shared" ca="1" si="35"/>
        <v/>
      </c>
      <c r="BV50" s="45" t="str">
        <f t="shared" ca="1" si="35"/>
        <v/>
      </c>
      <c r="BW50" s="45" t="str">
        <f t="shared" ca="1" si="35"/>
        <v/>
      </c>
      <c r="BX50" s="45" t="str">
        <f t="shared" ca="1" si="35"/>
        <v/>
      </c>
      <c r="BY50" s="45" t="str">
        <f t="shared" ca="1" si="35"/>
        <v/>
      </c>
      <c r="BZ50" s="45" t="str">
        <f t="shared" ca="1" si="35"/>
        <v/>
      </c>
      <c r="CA50" s="45" t="str">
        <f t="shared" ca="1" si="35"/>
        <v/>
      </c>
      <c r="CB50" s="45" t="str">
        <f t="shared" ca="1" si="35"/>
        <v/>
      </c>
      <c r="CC50" s="45" t="str">
        <f t="shared" ca="1" si="35"/>
        <v/>
      </c>
      <c r="CD50" s="45" t="str">
        <f t="shared" ca="1" si="35"/>
        <v/>
      </c>
      <c r="CE50" s="45" t="str">
        <f t="shared" ca="1" si="35"/>
        <v/>
      </c>
      <c r="CF50" s="45" t="str">
        <f t="shared" ca="1" si="35"/>
        <v/>
      </c>
      <c r="CG50" s="45" t="str">
        <f t="shared" ca="1" si="35"/>
        <v/>
      </c>
      <c r="CH50" s="45" t="str">
        <f t="shared" ca="1" si="35"/>
        <v/>
      </c>
      <c r="CI50" s="45" t="str">
        <f t="shared" ca="1" si="35"/>
        <v/>
      </c>
      <c r="CJ50" s="45" t="str">
        <f t="shared" ca="1" si="35"/>
        <v/>
      </c>
      <c r="CK50" s="45" t="str">
        <f t="shared" ca="1" si="35"/>
        <v/>
      </c>
      <c r="CL50" s="45" t="str">
        <f t="shared" ca="1" si="35"/>
        <v/>
      </c>
      <c r="CM50" s="45" t="str">
        <f t="shared" ca="1" si="35"/>
        <v/>
      </c>
      <c r="CN50" s="45" t="str">
        <f t="shared" ca="1" si="35"/>
        <v/>
      </c>
      <c r="CO50" s="45" t="str">
        <f t="shared" ca="1" si="35"/>
        <v/>
      </c>
      <c r="CP50" s="45" t="str">
        <f t="shared" ca="1" si="35"/>
        <v/>
      </c>
      <c r="CQ50" s="45" t="str">
        <f t="shared" ca="1" si="35"/>
        <v/>
      </c>
      <c r="CR50" s="45" t="str">
        <f t="shared" ca="1" si="35"/>
        <v/>
      </c>
      <c r="CS50" s="45" t="str">
        <f t="shared" ca="1" si="35"/>
        <v/>
      </c>
      <c r="CT50" s="45" t="str">
        <f t="shared" ca="1" si="35"/>
        <v/>
      </c>
      <c r="CU50" s="45" t="str">
        <f t="shared" ca="1" si="35"/>
        <v/>
      </c>
      <c r="CV50" s="45" t="str">
        <f t="shared" ca="1" si="35"/>
        <v/>
      </c>
      <c r="CW50" s="45" t="str">
        <f t="shared" ca="1" si="35"/>
        <v/>
      </c>
      <c r="CX50" s="45" t="str">
        <f t="shared" ca="1" si="35"/>
        <v/>
      </c>
      <c r="CY50" s="45" t="str">
        <f t="shared" ca="1" si="35"/>
        <v/>
      </c>
    </row>
    <row r="51" spans="1:103" s="45" customFormat="1">
      <c r="A51" s="47" t="s">
        <v>389</v>
      </c>
      <c r="D51" s="45" t="str">
        <f t="shared" ref="D51" si="38">IF(D6="","",MIN(10,MAX(0,ROUND(D6*10,0))))</f>
        <v/>
      </c>
      <c r="E51" s="45" t="str">
        <f t="shared" si="37"/>
        <v/>
      </c>
      <c r="F51" s="45" t="str">
        <f t="shared" si="37"/>
        <v/>
      </c>
      <c r="G51" s="45" t="str">
        <f t="shared" si="37"/>
        <v/>
      </c>
      <c r="H51" s="45" t="str">
        <f t="shared" si="37"/>
        <v/>
      </c>
      <c r="I51" s="45" t="str">
        <f t="shared" si="37"/>
        <v/>
      </c>
      <c r="J51" s="45" t="str">
        <f t="shared" si="37"/>
        <v/>
      </c>
      <c r="K51" s="45" t="str">
        <f t="shared" si="37"/>
        <v/>
      </c>
      <c r="L51" s="45" t="str">
        <f t="shared" si="37"/>
        <v/>
      </c>
      <c r="M51" s="45" t="str">
        <f t="shared" si="37"/>
        <v/>
      </c>
      <c r="N51" s="45" t="str">
        <f t="shared" si="37"/>
        <v/>
      </c>
      <c r="O51" s="45" t="str">
        <f t="shared" si="37"/>
        <v/>
      </c>
      <c r="P51" s="45" t="str">
        <f t="shared" si="37"/>
        <v/>
      </c>
      <c r="Q51" s="45" t="str">
        <f t="shared" si="37"/>
        <v/>
      </c>
      <c r="R51" s="45" t="str">
        <f t="shared" si="37"/>
        <v/>
      </c>
      <c r="S51" s="45" t="str">
        <f t="shared" si="37"/>
        <v/>
      </c>
      <c r="T51" s="45" t="str">
        <f t="shared" si="37"/>
        <v/>
      </c>
      <c r="U51" s="45" t="str">
        <f t="shared" si="37"/>
        <v/>
      </c>
      <c r="V51" s="45" t="str">
        <f t="shared" si="37"/>
        <v/>
      </c>
      <c r="W51" s="45" t="str">
        <f t="shared" si="37"/>
        <v/>
      </c>
      <c r="X51" s="45" t="str">
        <f t="shared" si="37"/>
        <v/>
      </c>
      <c r="Y51" s="45" t="str">
        <f t="shared" si="37"/>
        <v/>
      </c>
      <c r="Z51" s="45" t="str">
        <f t="shared" si="37"/>
        <v/>
      </c>
      <c r="AA51" s="45" t="str">
        <f t="shared" si="37"/>
        <v/>
      </c>
      <c r="AB51" s="45" t="str">
        <f t="shared" si="37"/>
        <v/>
      </c>
      <c r="AC51" s="45" t="str">
        <f t="shared" si="37"/>
        <v/>
      </c>
      <c r="AD51" s="45" t="str">
        <f t="shared" si="37"/>
        <v/>
      </c>
      <c r="AE51" s="45" t="str">
        <f t="shared" si="37"/>
        <v/>
      </c>
      <c r="AF51" s="45" t="str">
        <f t="shared" si="37"/>
        <v/>
      </c>
      <c r="AG51" s="45" t="str">
        <f t="shared" si="37"/>
        <v/>
      </c>
      <c r="AH51" s="45" t="str">
        <f t="shared" si="37"/>
        <v/>
      </c>
      <c r="AI51" s="45" t="str">
        <f t="shared" si="37"/>
        <v/>
      </c>
      <c r="AJ51" s="45" t="str">
        <f t="shared" si="37"/>
        <v/>
      </c>
      <c r="AK51" s="45" t="str">
        <f t="shared" si="37"/>
        <v/>
      </c>
      <c r="AL51" s="45" t="str">
        <f t="shared" si="37"/>
        <v/>
      </c>
      <c r="AM51" s="45" t="str">
        <f t="shared" si="37"/>
        <v/>
      </c>
      <c r="AN51" s="45" t="str">
        <f t="shared" si="37"/>
        <v/>
      </c>
      <c r="AO51" s="45" t="str">
        <f t="shared" si="37"/>
        <v/>
      </c>
      <c r="AP51" s="45" t="str">
        <f t="shared" si="37"/>
        <v/>
      </c>
      <c r="AQ51" s="45" t="str">
        <f t="shared" si="37"/>
        <v/>
      </c>
      <c r="AR51" s="45" t="str">
        <f t="shared" si="37"/>
        <v/>
      </c>
      <c r="AS51" s="45" t="str">
        <f t="shared" si="37"/>
        <v/>
      </c>
      <c r="AT51" s="45" t="str">
        <f t="shared" si="37"/>
        <v/>
      </c>
      <c r="AU51" s="45" t="str">
        <f t="shared" si="37"/>
        <v/>
      </c>
      <c r="AV51" s="45" t="str">
        <f t="shared" si="37"/>
        <v/>
      </c>
      <c r="AW51" s="45" t="str">
        <f t="shared" si="37"/>
        <v/>
      </c>
      <c r="AX51" s="45" t="str">
        <f t="shared" si="37"/>
        <v/>
      </c>
      <c r="AY51" s="45" t="str">
        <f t="shared" si="37"/>
        <v/>
      </c>
      <c r="AZ51" s="45" t="str">
        <f t="shared" si="37"/>
        <v/>
      </c>
      <c r="BA51" s="45" t="str">
        <f t="shared" si="37"/>
        <v/>
      </c>
      <c r="BB51" s="45" t="str">
        <f t="shared" si="37"/>
        <v/>
      </c>
      <c r="BC51" s="45" t="str">
        <f t="shared" si="37"/>
        <v/>
      </c>
      <c r="BD51" s="45" t="str">
        <f t="shared" si="37"/>
        <v/>
      </c>
      <c r="BE51" s="45" t="str">
        <f t="shared" si="37"/>
        <v/>
      </c>
      <c r="BF51" s="45" t="str">
        <f t="shared" si="37"/>
        <v/>
      </c>
      <c r="BG51" s="45" t="str">
        <f t="shared" si="37"/>
        <v/>
      </c>
      <c r="BH51" s="45" t="str">
        <f t="shared" si="37"/>
        <v/>
      </c>
      <c r="BI51" s="45" t="str">
        <f t="shared" si="37"/>
        <v/>
      </c>
      <c r="BJ51" s="45" t="str">
        <f t="shared" si="37"/>
        <v/>
      </c>
      <c r="BK51" s="45" t="str">
        <f t="shared" si="37"/>
        <v/>
      </c>
      <c r="BL51" s="45" t="str">
        <f t="shared" si="37"/>
        <v/>
      </c>
      <c r="BM51" s="45" t="str">
        <f t="shared" si="37"/>
        <v/>
      </c>
      <c r="BN51" s="45" t="str">
        <f t="shared" si="37"/>
        <v/>
      </c>
      <c r="BO51" s="45" t="str">
        <f t="shared" si="37"/>
        <v/>
      </c>
      <c r="BP51" s="45" t="str">
        <f t="shared" si="37"/>
        <v/>
      </c>
      <c r="BQ51" s="45" t="str">
        <f t="shared" si="35"/>
        <v/>
      </c>
      <c r="BR51" s="45" t="str">
        <f t="shared" si="35"/>
        <v/>
      </c>
      <c r="BS51" s="45" t="str">
        <f t="shared" si="35"/>
        <v/>
      </c>
      <c r="BT51" s="45" t="str">
        <f t="shared" si="35"/>
        <v/>
      </c>
      <c r="BU51" s="45" t="str">
        <f t="shared" si="35"/>
        <v/>
      </c>
      <c r="BV51" s="45" t="str">
        <f t="shared" si="35"/>
        <v/>
      </c>
      <c r="BW51" s="45" t="str">
        <f t="shared" si="35"/>
        <v/>
      </c>
      <c r="BX51" s="45" t="str">
        <f t="shared" si="35"/>
        <v/>
      </c>
      <c r="BY51" s="45" t="str">
        <f t="shared" si="35"/>
        <v/>
      </c>
      <c r="BZ51" s="45" t="str">
        <f t="shared" si="35"/>
        <v/>
      </c>
      <c r="CA51" s="45" t="str">
        <f t="shared" si="35"/>
        <v/>
      </c>
      <c r="CB51" s="45" t="str">
        <f t="shared" si="35"/>
        <v/>
      </c>
      <c r="CC51" s="45" t="str">
        <f t="shared" si="35"/>
        <v/>
      </c>
      <c r="CD51" s="45" t="str">
        <f t="shared" si="35"/>
        <v/>
      </c>
      <c r="CE51" s="45" t="str">
        <f t="shared" si="35"/>
        <v/>
      </c>
      <c r="CF51" s="45" t="str">
        <f t="shared" si="35"/>
        <v/>
      </c>
      <c r="CG51" s="45" t="str">
        <f t="shared" si="35"/>
        <v/>
      </c>
      <c r="CH51" s="45" t="str">
        <f t="shared" si="35"/>
        <v/>
      </c>
      <c r="CI51" s="45" t="str">
        <f t="shared" si="35"/>
        <v/>
      </c>
      <c r="CJ51" s="45" t="str">
        <f t="shared" si="35"/>
        <v/>
      </c>
      <c r="CK51" s="45" t="str">
        <f t="shared" si="35"/>
        <v/>
      </c>
      <c r="CL51" s="45" t="str">
        <f t="shared" si="35"/>
        <v/>
      </c>
      <c r="CM51" s="45" t="str">
        <f t="shared" si="35"/>
        <v/>
      </c>
      <c r="CN51" s="45" t="str">
        <f t="shared" si="35"/>
        <v/>
      </c>
      <c r="CO51" s="45" t="str">
        <f t="shared" si="35"/>
        <v/>
      </c>
      <c r="CP51" s="45" t="str">
        <f t="shared" si="35"/>
        <v/>
      </c>
      <c r="CQ51" s="45" t="str">
        <f t="shared" si="35"/>
        <v/>
      </c>
      <c r="CR51" s="45" t="str">
        <f t="shared" si="35"/>
        <v/>
      </c>
      <c r="CS51" s="45" t="str">
        <f t="shared" si="35"/>
        <v/>
      </c>
      <c r="CT51" s="45" t="str">
        <f t="shared" si="35"/>
        <v/>
      </c>
      <c r="CU51" s="45" t="str">
        <f t="shared" si="35"/>
        <v/>
      </c>
      <c r="CV51" s="45" t="str">
        <f t="shared" si="35"/>
        <v/>
      </c>
      <c r="CW51" s="45" t="str">
        <f t="shared" si="35"/>
        <v/>
      </c>
      <c r="CX51" s="45" t="str">
        <f t="shared" si="35"/>
        <v/>
      </c>
      <c r="CY51" s="45" t="str">
        <f t="shared" si="35"/>
        <v/>
      </c>
    </row>
    <row r="52" spans="1:103" s="45" customFormat="1">
      <c r="A52" s="47" t="s">
        <v>387</v>
      </c>
      <c r="D52" s="45">
        <f t="shared" ref="D52" ca="1" si="39">IF(D7="","",MIN(10,MAX(0,ROUND(D7*10,0))))</f>
        <v>0</v>
      </c>
    </row>
    <row r="54" spans="1:103">
      <c r="A54" s="89"/>
      <c r="B54" s="89"/>
    </row>
    <row r="55" spans="1:103">
      <c r="A55" s="90" t="s">
        <v>390</v>
      </c>
      <c r="B55" s="89"/>
    </row>
  </sheetData>
  <conditionalFormatting sqref="D8:CY8">
    <cfRule type="cellIs" dxfId="20" priority="1" operator="between">
      <formula>0</formula>
      <formula>0.3</formula>
    </cfRule>
    <cfRule type="cellIs" dxfId="19" priority="2" operator="between">
      <formula>0.3</formula>
      <formula>0.7</formula>
    </cfRule>
    <cfRule type="cellIs" dxfId="18" priority="7" operator="between">
      <formula>0.7</formula>
      <formula>1</formula>
    </cfRule>
  </conditionalFormatting>
  <conditionalFormatting sqref="E7:CY7">
    <cfRule type="expression" dxfId="17" priority="160">
      <formula>E7="n/a"</formula>
    </cfRule>
    <cfRule type="expression" dxfId="16" priority="161">
      <formula>AND(E7&lt;&gt;"",E7&gt;#REF!)</formula>
    </cfRule>
    <cfRule type="expression" dxfId="15" priority="162">
      <formula>AND(E7=#REF!,E43&lt;&gt;0,#REF!&lt;&gt;"")</formula>
    </cfRule>
    <cfRule type="expression" dxfId="14" priority="163">
      <formula>E7&lt;#REF!</formula>
    </cfRule>
    <cfRule type="expression" dxfId="13" priority="164">
      <formula>AND(E7=#REF!,#REF!&lt;&gt;"")</formula>
    </cfRule>
  </conditionalFormatting>
  <hyperlinks>
    <hyperlink ref="A10" r:id="rId1" xr:uid="{A50043FF-3D04-4541-A0DA-FC5D29263C03}"/>
  </hyperlinks>
  <pageMargins left="0.7" right="0.7" top="0.78740157499999996" bottom="0.78740157499999996" header="0.3" footer="0.3"/>
  <pageSetup paperSize="9" orientation="portrait" r:id="rId2"/>
  <ignoredErrors>
    <ignoredError sqref="C22:AX24 C26:AX27 D25:AX25" formula="1"/>
  </ignoredError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D772-FCCB-44E7-BFB3-F801B528343B}">
  <sheetPr>
    <tabColor rgb="FF6D6D6D"/>
  </sheetPr>
  <dimension ref="A1:E280"/>
  <sheetViews>
    <sheetView zoomScaleNormal="100" workbookViewId="0">
      <selection activeCell="C15" sqref="C15"/>
    </sheetView>
  </sheetViews>
  <sheetFormatPr baseColWidth="10" defaultColWidth="11" defaultRowHeight="18.75" customHeight="1"/>
  <cols>
    <col min="1" max="1" width="22" style="1" customWidth="1"/>
    <col min="2" max="2" width="125" style="1" customWidth="1"/>
    <col min="3" max="3" width="28" style="1" customWidth="1"/>
    <col min="4" max="4" width="16.625" style="1" customWidth="1"/>
    <col min="5" max="5" width="86.625" style="2" customWidth="1"/>
    <col min="6" max="16384" width="11" style="1"/>
  </cols>
  <sheetData>
    <row r="1" spans="1:5" ht="24.95" customHeight="1">
      <c r="A1" s="28" t="s">
        <v>0</v>
      </c>
      <c r="B1" s="29" t="s">
        <v>1</v>
      </c>
      <c r="C1" s="29" t="s">
        <v>2</v>
      </c>
      <c r="D1" s="29" t="s">
        <v>12</v>
      </c>
      <c r="E1" s="30" t="s">
        <v>4</v>
      </c>
    </row>
    <row r="2" spans="1:5" ht="24.95" customHeight="1">
      <c r="A2" s="91" t="s">
        <v>9</v>
      </c>
      <c r="B2" s="92" t="s">
        <v>41</v>
      </c>
      <c r="C2" s="92" t="s">
        <v>267</v>
      </c>
      <c r="D2" s="31"/>
      <c r="E2" s="32"/>
    </row>
    <row r="3" spans="1:5" ht="24.95" customHeight="1">
      <c r="A3" s="91" t="s">
        <v>9</v>
      </c>
      <c r="B3" s="92" t="s">
        <v>49</v>
      </c>
      <c r="C3" s="92" t="s">
        <v>267</v>
      </c>
      <c r="D3" s="31"/>
      <c r="E3" s="32"/>
    </row>
    <row r="4" spans="1:5" ht="24.95" customHeight="1">
      <c r="A4" s="91" t="s">
        <v>9</v>
      </c>
      <c r="B4" s="92" t="s">
        <v>42</v>
      </c>
      <c r="C4" s="92" t="s">
        <v>267</v>
      </c>
      <c r="D4" s="31"/>
      <c r="E4" s="32"/>
    </row>
    <row r="5" spans="1:5" ht="24.95" customHeight="1">
      <c r="A5" s="91" t="s">
        <v>9</v>
      </c>
      <c r="B5" s="92" t="s">
        <v>43</v>
      </c>
      <c r="C5" s="92" t="s">
        <v>267</v>
      </c>
      <c r="D5" s="31"/>
      <c r="E5" s="32"/>
    </row>
    <row r="6" spans="1:5" ht="24.95" customHeight="1">
      <c r="A6" s="91" t="s">
        <v>9</v>
      </c>
      <c r="B6" s="92" t="s">
        <v>44</v>
      </c>
      <c r="C6" s="92" t="s">
        <v>267</v>
      </c>
      <c r="D6" s="31"/>
      <c r="E6" s="32"/>
    </row>
    <row r="7" spans="1:5" ht="24.95" customHeight="1">
      <c r="A7" s="91" t="s">
        <v>9</v>
      </c>
      <c r="B7" s="92" t="s">
        <v>45</v>
      </c>
      <c r="C7" s="92" t="s">
        <v>267</v>
      </c>
      <c r="D7" s="31"/>
      <c r="E7" s="32"/>
    </row>
    <row r="8" spans="1:5" ht="24.95" customHeight="1">
      <c r="A8" s="91" t="s">
        <v>9</v>
      </c>
      <c r="B8" s="92" t="s">
        <v>46</v>
      </c>
      <c r="C8" s="92" t="s">
        <v>267</v>
      </c>
      <c r="D8" s="31"/>
      <c r="E8" s="32"/>
    </row>
    <row r="9" spans="1:5" ht="24.95" customHeight="1">
      <c r="A9" s="91" t="s">
        <v>9</v>
      </c>
      <c r="B9" s="92" t="s">
        <v>47</v>
      </c>
      <c r="C9" s="92" t="s">
        <v>267</v>
      </c>
      <c r="D9" s="31"/>
      <c r="E9" s="32"/>
    </row>
    <row r="10" spans="1:5" ht="24.95" customHeight="1">
      <c r="A10" s="91" t="s">
        <v>9</v>
      </c>
      <c r="B10" s="92" t="s">
        <v>48</v>
      </c>
      <c r="C10" s="92" t="s">
        <v>267</v>
      </c>
      <c r="D10" s="31"/>
      <c r="E10" s="32"/>
    </row>
    <row r="11" spans="1:5" ht="24.95" customHeight="1">
      <c r="A11" s="91" t="s">
        <v>9</v>
      </c>
      <c r="B11" s="92" t="s">
        <v>50</v>
      </c>
      <c r="C11" s="92" t="s">
        <v>268</v>
      </c>
      <c r="D11" s="31"/>
      <c r="E11" s="32"/>
    </row>
    <row r="12" spans="1:5" ht="24.95" customHeight="1">
      <c r="A12" s="91" t="s">
        <v>9</v>
      </c>
      <c r="B12" s="92" t="s">
        <v>51</v>
      </c>
      <c r="C12" s="92" t="s">
        <v>268</v>
      </c>
      <c r="D12" s="33"/>
      <c r="E12" s="32"/>
    </row>
    <row r="13" spans="1:5" ht="24.95" customHeight="1">
      <c r="A13" s="91" t="s">
        <v>9</v>
      </c>
      <c r="B13" s="92" t="s">
        <v>52</v>
      </c>
      <c r="C13" s="92" t="s">
        <v>268</v>
      </c>
      <c r="D13" s="33"/>
      <c r="E13" s="32"/>
    </row>
    <row r="14" spans="1:5" ht="24.95" customHeight="1">
      <c r="A14" s="91" t="s">
        <v>9</v>
      </c>
      <c r="B14" s="92" t="s">
        <v>53</v>
      </c>
      <c r="C14" s="92" t="s">
        <v>268</v>
      </c>
      <c r="D14" s="33"/>
      <c r="E14" s="32"/>
    </row>
    <row r="15" spans="1:5" ht="24.95" customHeight="1">
      <c r="A15" s="91" t="s">
        <v>9</v>
      </c>
      <c r="B15" s="92" t="s">
        <v>54</v>
      </c>
      <c r="C15" s="92" t="s">
        <v>268</v>
      </c>
      <c r="D15" s="33"/>
      <c r="E15" s="32"/>
    </row>
    <row r="16" spans="1:5" ht="24.95" customHeight="1">
      <c r="A16" s="91" t="s">
        <v>9</v>
      </c>
      <c r="B16" s="92" t="s">
        <v>133</v>
      </c>
      <c r="C16" s="92" t="s">
        <v>269</v>
      </c>
      <c r="D16" s="33"/>
      <c r="E16" s="32"/>
    </row>
    <row r="17" spans="1:5" ht="24.95" customHeight="1">
      <c r="A17" s="91" t="s">
        <v>9</v>
      </c>
      <c r="B17" s="92" t="s">
        <v>134</v>
      </c>
      <c r="C17" s="92" t="s">
        <v>269</v>
      </c>
      <c r="D17" s="33"/>
      <c r="E17" s="32"/>
    </row>
    <row r="18" spans="1:5" ht="24.95" customHeight="1">
      <c r="A18" s="91" t="s">
        <v>9</v>
      </c>
      <c r="B18" s="92" t="s">
        <v>55</v>
      </c>
      <c r="C18" s="92" t="s">
        <v>270</v>
      </c>
      <c r="D18" s="33"/>
      <c r="E18" s="32"/>
    </row>
    <row r="19" spans="1:5" ht="24.95" customHeight="1">
      <c r="A19" s="91" t="s">
        <v>9</v>
      </c>
      <c r="B19" s="92" t="s">
        <v>56</v>
      </c>
      <c r="C19" s="92" t="s">
        <v>270</v>
      </c>
      <c r="D19" s="33"/>
      <c r="E19" s="32"/>
    </row>
    <row r="20" spans="1:5" ht="24.95" customHeight="1">
      <c r="A20" s="91" t="s">
        <v>9</v>
      </c>
      <c r="B20" s="92" t="s">
        <v>57</v>
      </c>
      <c r="C20" s="92" t="s">
        <v>270</v>
      </c>
      <c r="D20" s="33"/>
      <c r="E20" s="32"/>
    </row>
    <row r="21" spans="1:5" ht="24.95" customHeight="1">
      <c r="A21" s="91" t="s">
        <v>9</v>
      </c>
      <c r="B21" s="92" t="s">
        <v>58</v>
      </c>
      <c r="C21" s="92" t="s">
        <v>270</v>
      </c>
      <c r="D21" s="33"/>
      <c r="E21" s="32"/>
    </row>
    <row r="22" spans="1:5" ht="24.95" customHeight="1">
      <c r="A22" s="91" t="s">
        <v>9</v>
      </c>
      <c r="B22" s="92" t="s">
        <v>59</v>
      </c>
      <c r="C22" s="92" t="s">
        <v>271</v>
      </c>
      <c r="D22" s="33"/>
      <c r="E22" s="32"/>
    </row>
    <row r="23" spans="1:5" ht="24.95" customHeight="1">
      <c r="A23" s="91" t="s">
        <v>9</v>
      </c>
      <c r="B23" s="92" t="s">
        <v>60</v>
      </c>
      <c r="C23" s="92" t="s">
        <v>271</v>
      </c>
      <c r="D23" s="33"/>
      <c r="E23" s="32"/>
    </row>
    <row r="24" spans="1:5" ht="24.95" customHeight="1">
      <c r="A24" s="91" t="s">
        <v>9</v>
      </c>
      <c r="B24" s="92" t="s">
        <v>61</v>
      </c>
      <c r="C24" s="92" t="s">
        <v>271</v>
      </c>
      <c r="D24" s="33"/>
      <c r="E24" s="32"/>
    </row>
    <row r="25" spans="1:5" ht="24.95" customHeight="1">
      <c r="A25" s="91" t="s">
        <v>9</v>
      </c>
      <c r="B25" s="92" t="s">
        <v>62</v>
      </c>
      <c r="C25" s="92" t="s">
        <v>272</v>
      </c>
      <c r="D25" s="33"/>
      <c r="E25" s="32"/>
    </row>
    <row r="26" spans="1:5" ht="24.95" customHeight="1">
      <c r="A26" s="91" t="s">
        <v>9</v>
      </c>
      <c r="B26" s="92" t="s">
        <v>63</v>
      </c>
      <c r="C26" s="92" t="s">
        <v>272</v>
      </c>
      <c r="D26" s="33"/>
      <c r="E26" s="32"/>
    </row>
    <row r="27" spans="1:5" ht="24.95" customHeight="1">
      <c r="A27" s="91" t="s">
        <v>9</v>
      </c>
      <c r="B27" s="92" t="s">
        <v>64</v>
      </c>
      <c r="C27" s="92" t="s">
        <v>272</v>
      </c>
      <c r="D27" s="33"/>
      <c r="E27" s="32"/>
    </row>
    <row r="28" spans="1:5" ht="24.95" customHeight="1">
      <c r="A28" s="91" t="s">
        <v>9</v>
      </c>
      <c r="B28" s="92" t="s">
        <v>65</v>
      </c>
      <c r="C28" s="92" t="s">
        <v>272</v>
      </c>
      <c r="D28" s="33"/>
      <c r="E28" s="32"/>
    </row>
    <row r="29" spans="1:5" ht="24.95" customHeight="1">
      <c r="A29" s="91" t="s">
        <v>9</v>
      </c>
      <c r="B29" s="92" t="s">
        <v>66</v>
      </c>
      <c r="C29" s="92" t="s">
        <v>272</v>
      </c>
      <c r="D29" s="33"/>
      <c r="E29" s="32"/>
    </row>
    <row r="30" spans="1:5" ht="24.95" customHeight="1">
      <c r="A30" s="91" t="s">
        <v>9</v>
      </c>
      <c r="B30" s="92" t="s">
        <v>67</v>
      </c>
      <c r="C30" s="92" t="s">
        <v>272</v>
      </c>
      <c r="D30" s="33"/>
      <c r="E30" s="32"/>
    </row>
    <row r="31" spans="1:5" ht="24.95" customHeight="1">
      <c r="A31" s="91" t="s">
        <v>9</v>
      </c>
      <c r="B31" s="92" t="s">
        <v>68</v>
      </c>
      <c r="C31" s="92" t="s">
        <v>273</v>
      </c>
      <c r="D31" s="33"/>
      <c r="E31" s="32"/>
    </row>
    <row r="32" spans="1:5" ht="24.95" customHeight="1">
      <c r="A32" s="91" t="s">
        <v>9</v>
      </c>
      <c r="B32" s="92" t="s">
        <v>69</v>
      </c>
      <c r="C32" s="92" t="s">
        <v>273</v>
      </c>
      <c r="D32" s="33"/>
      <c r="E32" s="32"/>
    </row>
    <row r="33" spans="1:5" ht="24.95" customHeight="1">
      <c r="A33" s="91" t="s">
        <v>9</v>
      </c>
      <c r="B33" s="92" t="s">
        <v>70</v>
      </c>
      <c r="C33" s="92" t="s">
        <v>273</v>
      </c>
      <c r="D33" s="33"/>
      <c r="E33" s="32"/>
    </row>
    <row r="34" spans="1:5" ht="24.95" customHeight="1">
      <c r="A34" s="91" t="s">
        <v>9</v>
      </c>
      <c r="B34" s="92" t="s">
        <v>71</v>
      </c>
      <c r="C34" s="92" t="s">
        <v>273</v>
      </c>
      <c r="D34" s="33"/>
      <c r="E34" s="32"/>
    </row>
    <row r="35" spans="1:5" ht="24.95" customHeight="1">
      <c r="A35" s="91" t="s">
        <v>9</v>
      </c>
      <c r="B35" s="92" t="s">
        <v>72</v>
      </c>
      <c r="C35" s="92" t="s">
        <v>273</v>
      </c>
      <c r="D35" s="33"/>
      <c r="E35" s="32"/>
    </row>
    <row r="36" spans="1:5" ht="24.95" customHeight="1">
      <c r="A36" s="91" t="s">
        <v>9</v>
      </c>
      <c r="B36" s="92" t="s">
        <v>73</v>
      </c>
      <c r="C36" s="92" t="s">
        <v>273</v>
      </c>
      <c r="D36" s="33"/>
      <c r="E36" s="32"/>
    </row>
    <row r="37" spans="1:5" ht="24.95" customHeight="1">
      <c r="A37" s="91" t="s">
        <v>9</v>
      </c>
      <c r="B37" s="92" t="s">
        <v>74</v>
      </c>
      <c r="C37" s="92" t="s">
        <v>274</v>
      </c>
      <c r="D37" s="33"/>
      <c r="E37" s="35"/>
    </row>
    <row r="38" spans="1:5" ht="24.95" customHeight="1">
      <c r="A38" s="91" t="s">
        <v>9</v>
      </c>
      <c r="B38" s="92" t="s">
        <v>75</v>
      </c>
      <c r="C38" s="92" t="s">
        <v>274</v>
      </c>
      <c r="D38" s="33"/>
      <c r="E38" s="35"/>
    </row>
    <row r="39" spans="1:5" ht="24.95" customHeight="1">
      <c r="A39" s="91" t="s">
        <v>9</v>
      </c>
      <c r="B39" s="92" t="s">
        <v>76</v>
      </c>
      <c r="C39" s="92" t="s">
        <v>274</v>
      </c>
      <c r="D39" s="33"/>
      <c r="E39" s="35"/>
    </row>
    <row r="40" spans="1:5" ht="24.95" customHeight="1">
      <c r="A40" s="91" t="s">
        <v>9</v>
      </c>
      <c r="B40" s="92" t="s">
        <v>77</v>
      </c>
      <c r="C40" s="92" t="s">
        <v>274</v>
      </c>
      <c r="D40" s="33"/>
      <c r="E40" s="35"/>
    </row>
    <row r="41" spans="1:5" ht="24.95" customHeight="1">
      <c r="A41" s="91" t="s">
        <v>9</v>
      </c>
      <c r="B41" s="92" t="s">
        <v>78</v>
      </c>
      <c r="C41" s="92" t="s">
        <v>274</v>
      </c>
      <c r="D41" s="33"/>
      <c r="E41" s="35"/>
    </row>
    <row r="42" spans="1:5" ht="24.95" customHeight="1">
      <c r="A42" s="91" t="s">
        <v>9</v>
      </c>
      <c r="B42" s="92" t="s">
        <v>79</v>
      </c>
      <c r="C42" s="92" t="s">
        <v>274</v>
      </c>
      <c r="D42" s="33"/>
      <c r="E42" s="35"/>
    </row>
    <row r="43" spans="1:5" ht="24.95" customHeight="1">
      <c r="A43" s="91" t="s">
        <v>9</v>
      </c>
      <c r="B43" s="92" t="s">
        <v>80</v>
      </c>
      <c r="C43" s="92" t="s">
        <v>274</v>
      </c>
      <c r="D43" s="33"/>
      <c r="E43" s="35"/>
    </row>
    <row r="44" spans="1:5" ht="24.95" customHeight="1">
      <c r="A44" s="91" t="s">
        <v>9</v>
      </c>
      <c r="B44" s="92" t="s">
        <v>81</v>
      </c>
      <c r="C44" s="92" t="s">
        <v>274</v>
      </c>
      <c r="D44" s="33"/>
      <c r="E44" s="35"/>
    </row>
    <row r="45" spans="1:5" ht="24.95" customHeight="1">
      <c r="A45" s="91" t="s">
        <v>9</v>
      </c>
      <c r="B45" s="92" t="s">
        <v>82</v>
      </c>
      <c r="C45" s="92" t="s">
        <v>274</v>
      </c>
      <c r="D45" s="33"/>
      <c r="E45" s="35"/>
    </row>
    <row r="46" spans="1:5" ht="24.95" customHeight="1">
      <c r="A46" s="91" t="s">
        <v>9</v>
      </c>
      <c r="B46" s="92" t="s">
        <v>83</v>
      </c>
      <c r="C46" s="92" t="s">
        <v>274</v>
      </c>
      <c r="D46" s="33"/>
      <c r="E46" s="35"/>
    </row>
    <row r="47" spans="1:5" ht="24.95" customHeight="1">
      <c r="A47" s="91" t="s">
        <v>9</v>
      </c>
      <c r="B47" s="92" t="s">
        <v>84</v>
      </c>
      <c r="C47" s="92" t="s">
        <v>274</v>
      </c>
      <c r="D47" s="33"/>
      <c r="E47" s="35"/>
    </row>
    <row r="48" spans="1:5" ht="24.95" customHeight="1">
      <c r="A48" s="91" t="s">
        <v>9</v>
      </c>
      <c r="B48" s="92" t="s">
        <v>85</v>
      </c>
      <c r="C48" s="92" t="s">
        <v>275</v>
      </c>
      <c r="D48" s="31"/>
      <c r="E48" s="35"/>
    </row>
    <row r="49" spans="1:5" ht="24.95" customHeight="1">
      <c r="A49" s="91" t="s">
        <v>9</v>
      </c>
      <c r="B49" s="92" t="s">
        <v>86</v>
      </c>
      <c r="C49" s="92" t="s">
        <v>275</v>
      </c>
      <c r="D49" s="31"/>
      <c r="E49" s="35"/>
    </row>
    <row r="50" spans="1:5" ht="24.95" customHeight="1">
      <c r="A50" s="91" t="s">
        <v>9</v>
      </c>
      <c r="B50" s="92" t="s">
        <v>87</v>
      </c>
      <c r="C50" s="92" t="s">
        <v>275</v>
      </c>
      <c r="D50" s="31"/>
      <c r="E50" s="35"/>
    </row>
    <row r="51" spans="1:5" ht="24.95" customHeight="1">
      <c r="A51" s="91" t="s">
        <v>9</v>
      </c>
      <c r="B51" s="92" t="s">
        <v>88</v>
      </c>
      <c r="C51" s="92" t="s">
        <v>275</v>
      </c>
      <c r="D51" s="31"/>
      <c r="E51" s="35"/>
    </row>
    <row r="52" spans="1:5" ht="24.95" customHeight="1">
      <c r="A52" s="91" t="s">
        <v>9</v>
      </c>
      <c r="B52" s="92" t="s">
        <v>89</v>
      </c>
      <c r="C52" s="92" t="s">
        <v>276</v>
      </c>
      <c r="D52" s="31"/>
      <c r="E52" s="35"/>
    </row>
    <row r="53" spans="1:5" ht="24.95" customHeight="1">
      <c r="A53" s="91" t="s">
        <v>9</v>
      </c>
      <c r="B53" s="92" t="s">
        <v>90</v>
      </c>
      <c r="C53" s="92" t="s">
        <v>276</v>
      </c>
      <c r="D53" s="31"/>
      <c r="E53" s="35"/>
    </row>
    <row r="54" spans="1:5" ht="24.95" customHeight="1">
      <c r="A54" s="91" t="s">
        <v>9</v>
      </c>
      <c r="B54" s="92" t="s">
        <v>91</v>
      </c>
      <c r="C54" s="92" t="s">
        <v>276</v>
      </c>
      <c r="D54" s="31"/>
      <c r="E54" s="35"/>
    </row>
    <row r="55" spans="1:5" ht="24.95" customHeight="1">
      <c r="A55" s="91" t="s">
        <v>9</v>
      </c>
      <c r="B55" s="92" t="s">
        <v>92</v>
      </c>
      <c r="C55" s="92" t="s">
        <v>276</v>
      </c>
      <c r="D55" s="33"/>
      <c r="E55" s="35"/>
    </row>
    <row r="56" spans="1:5" ht="24.95" customHeight="1">
      <c r="A56" s="91" t="s">
        <v>9</v>
      </c>
      <c r="B56" s="92" t="s">
        <v>93</v>
      </c>
      <c r="C56" s="92" t="s">
        <v>276</v>
      </c>
      <c r="D56" s="33"/>
      <c r="E56" s="35"/>
    </row>
    <row r="57" spans="1:5" ht="24.95" customHeight="1">
      <c r="A57" s="91" t="s">
        <v>9</v>
      </c>
      <c r="B57" s="92" t="s">
        <v>94</v>
      </c>
      <c r="C57" s="92" t="s">
        <v>276</v>
      </c>
      <c r="D57" s="33"/>
      <c r="E57" s="35"/>
    </row>
    <row r="58" spans="1:5" ht="24.95" customHeight="1">
      <c r="A58" s="91" t="s">
        <v>9</v>
      </c>
      <c r="B58" s="92" t="s">
        <v>95</v>
      </c>
      <c r="C58" s="92" t="s">
        <v>276</v>
      </c>
      <c r="D58" s="33"/>
      <c r="E58" s="35"/>
    </row>
    <row r="59" spans="1:5" ht="24.95" customHeight="1">
      <c r="A59" s="91" t="s">
        <v>9</v>
      </c>
      <c r="B59" s="92" t="s">
        <v>96</v>
      </c>
      <c r="C59" s="92" t="s">
        <v>277</v>
      </c>
      <c r="D59" s="33"/>
      <c r="E59" s="35"/>
    </row>
    <row r="60" spans="1:5" ht="24.95" customHeight="1">
      <c r="A60" s="91" t="s">
        <v>9</v>
      </c>
      <c r="B60" s="92" t="s">
        <v>97</v>
      </c>
      <c r="C60" s="92" t="s">
        <v>277</v>
      </c>
      <c r="D60" s="33"/>
      <c r="E60" s="35"/>
    </row>
    <row r="61" spans="1:5" ht="24.95" customHeight="1">
      <c r="A61" s="91" t="s">
        <v>9</v>
      </c>
      <c r="B61" s="92" t="s">
        <v>98</v>
      </c>
      <c r="C61" s="92" t="s">
        <v>277</v>
      </c>
      <c r="D61" s="31"/>
      <c r="E61" s="35"/>
    </row>
    <row r="62" spans="1:5" ht="24.95" customHeight="1">
      <c r="A62" s="91" t="s">
        <v>9</v>
      </c>
      <c r="B62" s="92" t="s">
        <v>99</v>
      </c>
      <c r="C62" s="92" t="s">
        <v>278</v>
      </c>
      <c r="D62" s="31"/>
      <c r="E62" s="35"/>
    </row>
    <row r="63" spans="1:5" ht="24.95" customHeight="1">
      <c r="A63" s="91" t="s">
        <v>9</v>
      </c>
      <c r="B63" s="92" t="s">
        <v>100</v>
      </c>
      <c r="C63" s="92" t="s">
        <v>278</v>
      </c>
      <c r="D63" s="33"/>
      <c r="E63" s="35"/>
    </row>
    <row r="64" spans="1:5" ht="24.95" customHeight="1">
      <c r="A64" s="91" t="s">
        <v>9</v>
      </c>
      <c r="B64" s="92" t="s">
        <v>101</v>
      </c>
      <c r="C64" s="92" t="s">
        <v>278</v>
      </c>
      <c r="D64" s="33"/>
      <c r="E64" s="35"/>
    </row>
    <row r="65" spans="1:5" ht="24.95" customHeight="1">
      <c r="A65" s="91" t="s">
        <v>9</v>
      </c>
      <c r="B65" s="92" t="s">
        <v>102</v>
      </c>
      <c r="C65" s="92" t="s">
        <v>278</v>
      </c>
      <c r="D65" s="33"/>
      <c r="E65" s="35"/>
    </row>
    <row r="66" spans="1:5" ht="24.95" customHeight="1">
      <c r="A66" s="91" t="s">
        <v>9</v>
      </c>
      <c r="B66" s="92" t="s">
        <v>103</v>
      </c>
      <c r="C66" s="92" t="s">
        <v>278</v>
      </c>
      <c r="D66" s="33"/>
      <c r="E66" s="35"/>
    </row>
    <row r="67" spans="1:5" ht="24.95" customHeight="1">
      <c r="A67" s="91" t="s">
        <v>9</v>
      </c>
      <c r="B67" s="92" t="s">
        <v>104</v>
      </c>
      <c r="C67" s="92" t="s">
        <v>278</v>
      </c>
      <c r="D67" s="33"/>
      <c r="E67" s="35"/>
    </row>
    <row r="68" spans="1:5" ht="24.95" customHeight="1">
      <c r="A68" s="91" t="s">
        <v>9</v>
      </c>
      <c r="B68" s="92" t="s">
        <v>105</v>
      </c>
      <c r="C68" s="92" t="s">
        <v>278</v>
      </c>
      <c r="D68" s="33"/>
      <c r="E68" s="35"/>
    </row>
    <row r="69" spans="1:5" ht="24.95" customHeight="1">
      <c r="A69" s="91" t="s">
        <v>9</v>
      </c>
      <c r="B69" s="92" t="s">
        <v>106</v>
      </c>
      <c r="C69" s="92" t="s">
        <v>279</v>
      </c>
      <c r="D69" s="31"/>
      <c r="E69" s="35"/>
    </row>
    <row r="70" spans="1:5" ht="24.95" customHeight="1">
      <c r="A70" s="91" t="s">
        <v>9</v>
      </c>
      <c r="B70" s="92" t="s">
        <v>107</v>
      </c>
      <c r="C70" s="92" t="s">
        <v>279</v>
      </c>
      <c r="D70" s="31"/>
      <c r="E70" s="35"/>
    </row>
    <row r="71" spans="1:5" ht="24.95" customHeight="1">
      <c r="A71" s="91" t="s">
        <v>9</v>
      </c>
      <c r="B71" s="92" t="s">
        <v>108</v>
      </c>
      <c r="C71" s="92" t="s">
        <v>279</v>
      </c>
      <c r="D71" s="31"/>
      <c r="E71" s="35"/>
    </row>
    <row r="72" spans="1:5" ht="24.95" customHeight="1">
      <c r="A72" s="91" t="s">
        <v>9</v>
      </c>
      <c r="B72" s="92" t="s">
        <v>109</v>
      </c>
      <c r="C72" s="92" t="s">
        <v>279</v>
      </c>
      <c r="D72" s="31"/>
      <c r="E72" s="35"/>
    </row>
    <row r="73" spans="1:5" ht="24.95" customHeight="1">
      <c r="A73" s="91" t="s">
        <v>9</v>
      </c>
      <c r="B73" s="92" t="s">
        <v>110</v>
      </c>
      <c r="C73" s="92" t="s">
        <v>279</v>
      </c>
      <c r="D73" s="31"/>
      <c r="E73" s="35"/>
    </row>
    <row r="74" spans="1:5" ht="24.95" customHeight="1">
      <c r="A74" s="91" t="s">
        <v>9</v>
      </c>
      <c r="B74" s="92" t="s">
        <v>111</v>
      </c>
      <c r="C74" s="92" t="s">
        <v>280</v>
      </c>
      <c r="D74" s="31"/>
      <c r="E74" s="35"/>
    </row>
    <row r="75" spans="1:5" ht="24.95" customHeight="1">
      <c r="A75" s="91" t="s">
        <v>9</v>
      </c>
      <c r="B75" s="92" t="s">
        <v>112</v>
      </c>
      <c r="C75" s="92" t="s">
        <v>280</v>
      </c>
      <c r="D75" s="31"/>
      <c r="E75" s="35"/>
    </row>
    <row r="76" spans="1:5" ht="24.95" customHeight="1">
      <c r="A76" s="91" t="s">
        <v>9</v>
      </c>
      <c r="B76" s="92" t="s">
        <v>113</v>
      </c>
      <c r="C76" s="92" t="s">
        <v>280</v>
      </c>
      <c r="D76" s="31"/>
      <c r="E76" s="35"/>
    </row>
    <row r="77" spans="1:5" ht="24.95" customHeight="1">
      <c r="A77" s="91" t="s">
        <v>9</v>
      </c>
      <c r="B77" s="92" t="s">
        <v>114</v>
      </c>
      <c r="C77" s="92" t="s">
        <v>280</v>
      </c>
      <c r="D77" s="31"/>
      <c r="E77" s="35"/>
    </row>
    <row r="78" spans="1:5" ht="24.95" customHeight="1">
      <c r="A78" s="91" t="s">
        <v>9</v>
      </c>
      <c r="B78" s="92" t="s">
        <v>115</v>
      </c>
      <c r="C78" s="92" t="s">
        <v>280</v>
      </c>
      <c r="D78" s="31"/>
      <c r="E78" s="35"/>
    </row>
    <row r="79" spans="1:5" ht="24.95" customHeight="1">
      <c r="A79" s="91" t="s">
        <v>9</v>
      </c>
      <c r="B79" s="92" t="s">
        <v>116</v>
      </c>
      <c r="C79" s="92" t="s">
        <v>280</v>
      </c>
      <c r="D79" s="31"/>
      <c r="E79" s="35"/>
    </row>
    <row r="80" spans="1:5" ht="24.95" customHeight="1">
      <c r="A80" s="91" t="s">
        <v>9</v>
      </c>
      <c r="B80" s="92" t="s">
        <v>117</v>
      </c>
      <c r="C80" s="92" t="s">
        <v>280</v>
      </c>
      <c r="D80" s="31"/>
      <c r="E80" s="35"/>
    </row>
    <row r="81" spans="1:5" ht="24.95" customHeight="1">
      <c r="A81" s="91" t="s">
        <v>9</v>
      </c>
      <c r="B81" s="92" t="s">
        <v>118</v>
      </c>
      <c r="C81" s="92" t="s">
        <v>281</v>
      </c>
      <c r="D81" s="31"/>
      <c r="E81" s="35"/>
    </row>
    <row r="82" spans="1:5" ht="24.95" customHeight="1">
      <c r="A82" s="91" t="s">
        <v>9</v>
      </c>
      <c r="B82" s="92" t="s">
        <v>119</v>
      </c>
      <c r="C82" s="92" t="s">
        <v>281</v>
      </c>
      <c r="D82" s="31"/>
      <c r="E82" s="35"/>
    </row>
    <row r="83" spans="1:5" ht="24.95" customHeight="1">
      <c r="A83" s="91" t="s">
        <v>9</v>
      </c>
      <c r="B83" s="92" t="s">
        <v>120</v>
      </c>
      <c r="C83" s="92" t="s">
        <v>281</v>
      </c>
      <c r="D83" s="31"/>
      <c r="E83" s="35"/>
    </row>
    <row r="84" spans="1:5" ht="24.95" customHeight="1">
      <c r="A84" s="91" t="s">
        <v>9</v>
      </c>
      <c r="B84" s="92" t="s">
        <v>121</v>
      </c>
      <c r="C84" s="92" t="s">
        <v>282</v>
      </c>
      <c r="D84" s="31"/>
      <c r="E84" s="35"/>
    </row>
    <row r="85" spans="1:5" ht="24.95" customHeight="1">
      <c r="A85" s="91" t="s">
        <v>9</v>
      </c>
      <c r="B85" s="92" t="s">
        <v>122</v>
      </c>
      <c r="C85" s="92" t="s">
        <v>282</v>
      </c>
      <c r="D85" s="31"/>
      <c r="E85" s="35"/>
    </row>
    <row r="86" spans="1:5" ht="24.95" customHeight="1">
      <c r="A86" s="91" t="s">
        <v>9</v>
      </c>
      <c r="B86" s="92" t="s">
        <v>123</v>
      </c>
      <c r="C86" s="92" t="s">
        <v>282</v>
      </c>
      <c r="D86" s="31"/>
      <c r="E86" s="35"/>
    </row>
    <row r="87" spans="1:5" ht="24.95" customHeight="1">
      <c r="A87" s="91" t="s">
        <v>9</v>
      </c>
      <c r="B87" s="92" t="s">
        <v>124</v>
      </c>
      <c r="C87" s="92" t="s">
        <v>283</v>
      </c>
      <c r="D87" s="31"/>
      <c r="E87" s="35"/>
    </row>
    <row r="88" spans="1:5" ht="24.95" customHeight="1">
      <c r="A88" s="91" t="s">
        <v>9</v>
      </c>
      <c r="B88" s="92" t="s">
        <v>125</v>
      </c>
      <c r="C88" s="92" t="s">
        <v>283</v>
      </c>
      <c r="D88" s="31"/>
      <c r="E88" s="35"/>
    </row>
    <row r="89" spans="1:5" ht="24.95" customHeight="1">
      <c r="A89" s="91" t="s">
        <v>9</v>
      </c>
      <c r="B89" s="92" t="s">
        <v>126</v>
      </c>
      <c r="C89" s="92" t="s">
        <v>283</v>
      </c>
      <c r="D89" s="31"/>
      <c r="E89" s="35"/>
    </row>
    <row r="90" spans="1:5" ht="24.95" customHeight="1">
      <c r="A90" s="91" t="s">
        <v>9</v>
      </c>
      <c r="B90" s="92" t="s">
        <v>127</v>
      </c>
      <c r="C90" s="92" t="s">
        <v>284</v>
      </c>
      <c r="D90" s="31"/>
      <c r="E90" s="35"/>
    </row>
    <row r="91" spans="1:5" ht="24.95" customHeight="1">
      <c r="A91" s="91" t="s">
        <v>9</v>
      </c>
      <c r="B91" s="92" t="s">
        <v>128</v>
      </c>
      <c r="C91" s="92" t="s">
        <v>284</v>
      </c>
      <c r="D91" s="31"/>
      <c r="E91" s="35"/>
    </row>
    <row r="92" spans="1:5" ht="24.95" customHeight="1">
      <c r="A92" s="91" t="s">
        <v>9</v>
      </c>
      <c r="B92" s="92" t="s">
        <v>129</v>
      </c>
      <c r="C92" s="92" t="s">
        <v>284</v>
      </c>
      <c r="D92" s="31"/>
      <c r="E92" s="35"/>
    </row>
    <row r="93" spans="1:5" ht="24.95" customHeight="1">
      <c r="A93" s="91" t="s">
        <v>9</v>
      </c>
      <c r="B93" s="92" t="s">
        <v>130</v>
      </c>
      <c r="C93" s="92" t="s">
        <v>284</v>
      </c>
      <c r="D93" s="31"/>
      <c r="E93" s="35"/>
    </row>
    <row r="94" spans="1:5" ht="24.95" customHeight="1">
      <c r="A94" s="91" t="s">
        <v>9</v>
      </c>
      <c r="B94" s="92" t="s">
        <v>131</v>
      </c>
      <c r="C94" s="92" t="s">
        <v>284</v>
      </c>
      <c r="D94" s="31"/>
      <c r="E94" s="35"/>
    </row>
    <row r="95" spans="1:5" ht="24.95" customHeight="1">
      <c r="A95" s="91" t="s">
        <v>9</v>
      </c>
      <c r="B95" s="92" t="s">
        <v>132</v>
      </c>
      <c r="C95" s="92" t="s">
        <v>284</v>
      </c>
      <c r="D95" s="31"/>
      <c r="E95" s="35"/>
    </row>
    <row r="96" spans="1:5" ht="24.95" hidden="1" customHeight="1">
      <c r="A96" s="91"/>
      <c r="B96" s="92"/>
      <c r="C96" s="92"/>
      <c r="D96" s="31"/>
      <c r="E96" s="35"/>
    </row>
    <row r="97" spans="1:5" ht="24.95" hidden="1" customHeight="1">
      <c r="A97" s="91"/>
      <c r="B97" s="92"/>
      <c r="C97" s="92"/>
      <c r="D97" s="31"/>
      <c r="E97" s="35"/>
    </row>
    <row r="98" spans="1:5" ht="24.95" hidden="1" customHeight="1">
      <c r="A98" s="91"/>
      <c r="B98" s="92"/>
      <c r="C98" s="92"/>
      <c r="D98" s="31"/>
      <c r="E98" s="35"/>
    </row>
    <row r="99" spans="1:5" ht="24.95" hidden="1" customHeight="1">
      <c r="A99" s="91"/>
      <c r="B99" s="92"/>
      <c r="C99" s="92"/>
      <c r="D99" s="31"/>
      <c r="E99" s="35"/>
    </row>
    <row r="100" spans="1:5" ht="24.95" hidden="1" customHeight="1">
      <c r="A100" s="91"/>
      <c r="B100" s="92"/>
      <c r="C100" s="92"/>
      <c r="D100" s="31"/>
      <c r="E100" s="35"/>
    </row>
    <row r="101" spans="1:5" ht="24.95" customHeight="1">
      <c r="A101" s="91" t="s">
        <v>8</v>
      </c>
      <c r="B101" s="92" t="s">
        <v>135</v>
      </c>
      <c r="C101" s="92" t="s">
        <v>136</v>
      </c>
      <c r="D101" s="31"/>
      <c r="E101" s="35"/>
    </row>
    <row r="102" spans="1:5" ht="24.95" customHeight="1">
      <c r="A102" s="91" t="s">
        <v>8</v>
      </c>
      <c r="B102" s="92" t="s">
        <v>137</v>
      </c>
      <c r="C102" s="92" t="s">
        <v>136</v>
      </c>
      <c r="D102" s="31"/>
      <c r="E102" s="35"/>
    </row>
    <row r="103" spans="1:5" ht="24.95" customHeight="1">
      <c r="A103" s="91" t="s">
        <v>8</v>
      </c>
      <c r="B103" s="92" t="s">
        <v>138</v>
      </c>
      <c r="C103" s="92" t="s">
        <v>136</v>
      </c>
      <c r="D103" s="31"/>
      <c r="E103" s="35"/>
    </row>
    <row r="104" spans="1:5" ht="24.95" customHeight="1">
      <c r="A104" s="91" t="s">
        <v>8</v>
      </c>
      <c r="B104" s="92" t="s">
        <v>139</v>
      </c>
      <c r="C104" s="92" t="s">
        <v>136</v>
      </c>
      <c r="D104" s="31"/>
      <c r="E104" s="35"/>
    </row>
    <row r="105" spans="1:5" ht="24.95" customHeight="1">
      <c r="A105" s="91" t="s">
        <v>8</v>
      </c>
      <c r="B105" s="92" t="s">
        <v>140</v>
      </c>
      <c r="C105" s="92" t="s">
        <v>136</v>
      </c>
      <c r="D105" s="31"/>
      <c r="E105" s="35"/>
    </row>
    <row r="106" spans="1:5" ht="24.95" customHeight="1">
      <c r="A106" s="91" t="s">
        <v>8</v>
      </c>
      <c r="B106" s="92" t="s">
        <v>141</v>
      </c>
      <c r="C106" s="92" t="s">
        <v>136</v>
      </c>
      <c r="D106" s="31"/>
      <c r="E106" s="35"/>
    </row>
    <row r="107" spans="1:5" ht="24.95" customHeight="1">
      <c r="A107" s="91" t="s">
        <v>8</v>
      </c>
      <c r="B107" s="92" t="s">
        <v>142</v>
      </c>
      <c r="C107" s="92" t="s">
        <v>136</v>
      </c>
      <c r="D107" s="31"/>
      <c r="E107" s="35"/>
    </row>
    <row r="108" spans="1:5" ht="24.95" customHeight="1">
      <c r="A108" s="91" t="s">
        <v>8</v>
      </c>
      <c r="B108" s="92" t="s">
        <v>143</v>
      </c>
      <c r="C108" s="92" t="s">
        <v>136</v>
      </c>
      <c r="D108" s="31"/>
      <c r="E108" s="35"/>
    </row>
    <row r="109" spans="1:5" ht="24.95" customHeight="1">
      <c r="A109" s="91" t="s">
        <v>8</v>
      </c>
      <c r="B109" s="92" t="s">
        <v>144</v>
      </c>
      <c r="C109" s="92" t="s">
        <v>136</v>
      </c>
      <c r="D109" s="31"/>
      <c r="E109" s="35"/>
    </row>
    <row r="110" spans="1:5" ht="24.95" customHeight="1">
      <c r="A110" s="91" t="s">
        <v>8</v>
      </c>
      <c r="B110" s="92" t="s">
        <v>145</v>
      </c>
      <c r="C110" s="92" t="s">
        <v>136</v>
      </c>
      <c r="D110" s="31"/>
      <c r="E110" s="35"/>
    </row>
    <row r="111" spans="1:5" ht="24.95" customHeight="1">
      <c r="A111" s="91" t="s">
        <v>8</v>
      </c>
      <c r="B111" s="92" t="s">
        <v>146</v>
      </c>
      <c r="C111" s="92" t="s">
        <v>136</v>
      </c>
      <c r="D111" s="31"/>
      <c r="E111" s="35"/>
    </row>
    <row r="112" spans="1:5" ht="24.95" customHeight="1">
      <c r="A112" s="91" t="s">
        <v>8</v>
      </c>
      <c r="B112" s="92" t="s">
        <v>147</v>
      </c>
      <c r="C112" s="92" t="s">
        <v>136</v>
      </c>
      <c r="D112" s="31"/>
      <c r="E112" s="35"/>
    </row>
    <row r="113" spans="1:5" ht="24.95" customHeight="1">
      <c r="A113" s="91" t="s">
        <v>8</v>
      </c>
      <c r="B113" s="92" t="s">
        <v>148</v>
      </c>
      <c r="C113" s="92" t="s">
        <v>149</v>
      </c>
      <c r="D113" s="31"/>
      <c r="E113" s="35"/>
    </row>
    <row r="114" spans="1:5" ht="24.95" customHeight="1">
      <c r="A114" s="91" t="s">
        <v>8</v>
      </c>
      <c r="B114" s="92" t="s">
        <v>150</v>
      </c>
      <c r="C114" s="92" t="s">
        <v>149</v>
      </c>
      <c r="D114" s="31"/>
      <c r="E114" s="35"/>
    </row>
    <row r="115" spans="1:5" ht="24.95" customHeight="1">
      <c r="A115" s="91" t="s">
        <v>8</v>
      </c>
      <c r="B115" s="92" t="s">
        <v>151</v>
      </c>
      <c r="C115" s="92" t="s">
        <v>149</v>
      </c>
      <c r="D115" s="31"/>
      <c r="E115" s="35"/>
    </row>
    <row r="116" spans="1:5" ht="24.95" customHeight="1">
      <c r="A116" s="91" t="s">
        <v>8</v>
      </c>
      <c r="B116" s="92" t="s">
        <v>152</v>
      </c>
      <c r="C116" s="92" t="s">
        <v>149</v>
      </c>
      <c r="D116" s="31"/>
      <c r="E116" s="35"/>
    </row>
    <row r="117" spans="1:5" ht="24.95" customHeight="1">
      <c r="A117" s="91" t="s">
        <v>8</v>
      </c>
      <c r="B117" s="92" t="s">
        <v>153</v>
      </c>
      <c r="C117" s="92" t="s">
        <v>149</v>
      </c>
      <c r="D117" s="31"/>
      <c r="E117" s="35"/>
    </row>
    <row r="118" spans="1:5" ht="24.95" customHeight="1">
      <c r="A118" s="91" t="s">
        <v>8</v>
      </c>
      <c r="B118" s="92" t="s">
        <v>154</v>
      </c>
      <c r="C118" s="92" t="s">
        <v>149</v>
      </c>
      <c r="D118" s="31"/>
      <c r="E118" s="35"/>
    </row>
    <row r="119" spans="1:5" ht="24.95" customHeight="1">
      <c r="A119" s="91" t="s">
        <v>8</v>
      </c>
      <c r="B119" s="92" t="s">
        <v>147</v>
      </c>
      <c r="C119" s="92" t="s">
        <v>149</v>
      </c>
      <c r="D119" s="31"/>
      <c r="E119" s="35"/>
    </row>
    <row r="120" spans="1:5" ht="24.95" customHeight="1">
      <c r="A120" s="91" t="s">
        <v>8</v>
      </c>
      <c r="B120" s="92" t="s">
        <v>155</v>
      </c>
      <c r="C120" s="92" t="s">
        <v>156</v>
      </c>
      <c r="D120" s="31"/>
      <c r="E120" s="35"/>
    </row>
    <row r="121" spans="1:5" ht="24.95" customHeight="1">
      <c r="A121" s="91" t="s">
        <v>8</v>
      </c>
      <c r="B121" s="92" t="s">
        <v>157</v>
      </c>
      <c r="C121" s="92" t="s">
        <v>156</v>
      </c>
      <c r="D121" s="31"/>
      <c r="E121" s="35"/>
    </row>
    <row r="122" spans="1:5" ht="24.95" customHeight="1">
      <c r="A122" s="91" t="s">
        <v>8</v>
      </c>
      <c r="B122" s="92" t="s">
        <v>158</v>
      </c>
      <c r="C122" s="92" t="s">
        <v>156</v>
      </c>
      <c r="D122" s="31"/>
      <c r="E122" s="35"/>
    </row>
    <row r="123" spans="1:5" ht="24.95" customHeight="1">
      <c r="A123" s="91" t="s">
        <v>8</v>
      </c>
      <c r="B123" s="92" t="s">
        <v>159</v>
      </c>
      <c r="C123" s="92" t="s">
        <v>156</v>
      </c>
      <c r="D123" s="31"/>
      <c r="E123" s="35"/>
    </row>
    <row r="124" spans="1:5" ht="24.95" customHeight="1">
      <c r="A124" s="91" t="s">
        <v>8</v>
      </c>
      <c r="B124" s="92" t="s">
        <v>160</v>
      </c>
      <c r="C124" s="92" t="s">
        <v>156</v>
      </c>
      <c r="D124" s="31"/>
      <c r="E124" s="35"/>
    </row>
    <row r="125" spans="1:5" ht="24.95" customHeight="1">
      <c r="A125" s="91" t="s">
        <v>8</v>
      </c>
      <c r="B125" s="92" t="s">
        <v>161</v>
      </c>
      <c r="C125" s="92" t="s">
        <v>156</v>
      </c>
      <c r="D125" s="31"/>
      <c r="E125" s="35"/>
    </row>
    <row r="126" spans="1:5" ht="24.95" customHeight="1">
      <c r="A126" s="91" t="s">
        <v>8</v>
      </c>
      <c r="B126" s="92" t="s">
        <v>162</v>
      </c>
      <c r="C126" s="92" t="s">
        <v>156</v>
      </c>
      <c r="D126" s="31"/>
      <c r="E126" s="35"/>
    </row>
    <row r="127" spans="1:5" ht="24.95" customHeight="1">
      <c r="A127" s="91" t="s">
        <v>8</v>
      </c>
      <c r="B127" s="92" t="s">
        <v>147</v>
      </c>
      <c r="C127" s="92" t="s">
        <v>156</v>
      </c>
      <c r="D127" s="31"/>
      <c r="E127" s="35"/>
    </row>
    <row r="128" spans="1:5" ht="24.95" customHeight="1">
      <c r="A128" s="91" t="s">
        <v>8</v>
      </c>
      <c r="B128" s="92" t="s">
        <v>163</v>
      </c>
      <c r="C128" s="92" t="s">
        <v>164</v>
      </c>
      <c r="D128" s="31"/>
      <c r="E128" s="35"/>
    </row>
    <row r="129" spans="1:5" ht="24.95" customHeight="1">
      <c r="A129" s="91" t="s">
        <v>8</v>
      </c>
      <c r="B129" s="92" t="s">
        <v>165</v>
      </c>
      <c r="C129" s="92" t="s">
        <v>164</v>
      </c>
      <c r="D129" s="31"/>
      <c r="E129" s="35"/>
    </row>
    <row r="130" spans="1:5" ht="24.95" customHeight="1">
      <c r="A130" s="91" t="s">
        <v>8</v>
      </c>
      <c r="B130" s="92" t="s">
        <v>166</v>
      </c>
      <c r="C130" s="92" t="s">
        <v>164</v>
      </c>
      <c r="D130" s="31"/>
      <c r="E130" s="35"/>
    </row>
    <row r="131" spans="1:5" ht="24.95" customHeight="1">
      <c r="A131" s="91" t="s">
        <v>8</v>
      </c>
      <c r="B131" s="92" t="s">
        <v>167</v>
      </c>
      <c r="C131" s="92" t="s">
        <v>164</v>
      </c>
      <c r="D131" s="31"/>
      <c r="E131" s="35"/>
    </row>
    <row r="132" spans="1:5" ht="24.95" customHeight="1">
      <c r="A132" s="91" t="s">
        <v>8</v>
      </c>
      <c r="B132" s="92" t="s">
        <v>168</v>
      </c>
      <c r="C132" s="92" t="s">
        <v>164</v>
      </c>
      <c r="D132" s="31"/>
      <c r="E132" s="35"/>
    </row>
    <row r="133" spans="1:5" ht="24.95" customHeight="1">
      <c r="A133" s="91" t="s">
        <v>8</v>
      </c>
      <c r="B133" s="92" t="s">
        <v>169</v>
      </c>
      <c r="C133" s="92" t="s">
        <v>164</v>
      </c>
      <c r="D133" s="31"/>
      <c r="E133" s="35"/>
    </row>
    <row r="134" spans="1:5" ht="24.95" customHeight="1">
      <c r="A134" s="91" t="s">
        <v>8</v>
      </c>
      <c r="B134" s="92" t="s">
        <v>170</v>
      </c>
      <c r="C134" s="92" t="s">
        <v>164</v>
      </c>
      <c r="D134" s="31"/>
      <c r="E134" s="35"/>
    </row>
    <row r="135" spans="1:5" ht="24.95" customHeight="1">
      <c r="A135" s="91" t="s">
        <v>8</v>
      </c>
      <c r="B135" s="92" t="s">
        <v>147</v>
      </c>
      <c r="C135" s="92" t="s">
        <v>164</v>
      </c>
      <c r="D135" s="31"/>
      <c r="E135" s="35"/>
    </row>
    <row r="136" spans="1:5" ht="24.95" customHeight="1">
      <c r="A136" s="91" t="s">
        <v>8</v>
      </c>
      <c r="B136" s="92" t="s">
        <v>171</v>
      </c>
      <c r="C136" s="92" t="s">
        <v>172</v>
      </c>
      <c r="D136" s="31"/>
      <c r="E136" s="35"/>
    </row>
    <row r="137" spans="1:5" ht="24.95" customHeight="1">
      <c r="A137" s="91" t="s">
        <v>8</v>
      </c>
      <c r="B137" s="92" t="s">
        <v>173</v>
      </c>
      <c r="C137" s="92" t="s">
        <v>172</v>
      </c>
      <c r="D137" s="31"/>
      <c r="E137" s="35"/>
    </row>
    <row r="138" spans="1:5" ht="24.95" customHeight="1">
      <c r="A138" s="91" t="s">
        <v>8</v>
      </c>
      <c r="B138" s="92" t="s">
        <v>174</v>
      </c>
      <c r="C138" s="92" t="s">
        <v>172</v>
      </c>
      <c r="D138" s="31"/>
      <c r="E138" s="35"/>
    </row>
    <row r="139" spans="1:5" ht="24.95" customHeight="1">
      <c r="A139" s="91" t="s">
        <v>8</v>
      </c>
      <c r="B139" s="92" t="s">
        <v>175</v>
      </c>
      <c r="C139" s="92" t="s">
        <v>172</v>
      </c>
      <c r="D139" s="31"/>
      <c r="E139" s="35"/>
    </row>
    <row r="140" spans="1:5" ht="24.95" customHeight="1">
      <c r="A140" s="91" t="s">
        <v>8</v>
      </c>
      <c r="B140" s="92" t="s">
        <v>176</v>
      </c>
      <c r="C140" s="92" t="s">
        <v>172</v>
      </c>
      <c r="D140" s="31"/>
      <c r="E140" s="35"/>
    </row>
    <row r="141" spans="1:5" ht="24.95" customHeight="1">
      <c r="A141" s="91" t="s">
        <v>8</v>
      </c>
      <c r="B141" s="92" t="s">
        <v>177</v>
      </c>
      <c r="C141" s="92" t="s">
        <v>172</v>
      </c>
      <c r="D141" s="31"/>
      <c r="E141" s="35"/>
    </row>
    <row r="142" spans="1:5" ht="24.95" customHeight="1">
      <c r="A142" s="91" t="s">
        <v>8</v>
      </c>
      <c r="B142" s="92" t="s">
        <v>178</v>
      </c>
      <c r="C142" s="92" t="s">
        <v>172</v>
      </c>
      <c r="D142" s="31"/>
      <c r="E142" s="35"/>
    </row>
    <row r="143" spans="1:5" ht="24.95" customHeight="1">
      <c r="A143" s="91" t="s">
        <v>8</v>
      </c>
      <c r="B143" s="92" t="s">
        <v>147</v>
      </c>
      <c r="C143" s="92" t="s">
        <v>172</v>
      </c>
      <c r="D143" s="31"/>
      <c r="E143" s="35"/>
    </row>
    <row r="144" spans="1:5" ht="24.95" customHeight="1">
      <c r="A144" s="91" t="s">
        <v>8</v>
      </c>
      <c r="B144" s="92" t="s">
        <v>179</v>
      </c>
      <c r="C144" s="92" t="s">
        <v>180</v>
      </c>
      <c r="D144" s="31"/>
      <c r="E144" s="35"/>
    </row>
    <row r="145" spans="1:5" ht="24.95" customHeight="1">
      <c r="A145" s="91" t="s">
        <v>8</v>
      </c>
      <c r="B145" s="92" t="s">
        <v>181</v>
      </c>
      <c r="C145" s="92" t="s">
        <v>180</v>
      </c>
      <c r="D145" s="31"/>
      <c r="E145" s="35"/>
    </row>
    <row r="146" spans="1:5" ht="24.95" customHeight="1">
      <c r="A146" s="91" t="s">
        <v>8</v>
      </c>
      <c r="B146" s="92" t="s">
        <v>182</v>
      </c>
      <c r="C146" s="92" t="s">
        <v>180</v>
      </c>
      <c r="D146" s="31"/>
      <c r="E146" s="35"/>
    </row>
    <row r="147" spans="1:5" ht="24.95" customHeight="1">
      <c r="A147" s="91" t="s">
        <v>8</v>
      </c>
      <c r="B147" s="92" t="s">
        <v>183</v>
      </c>
      <c r="C147" s="92" t="s">
        <v>180</v>
      </c>
      <c r="D147" s="31"/>
      <c r="E147" s="35"/>
    </row>
    <row r="148" spans="1:5" ht="24.95" customHeight="1">
      <c r="A148" s="91" t="s">
        <v>8</v>
      </c>
      <c r="B148" s="92" t="s">
        <v>184</v>
      </c>
      <c r="C148" s="92" t="s">
        <v>180</v>
      </c>
      <c r="D148" s="31"/>
      <c r="E148" s="35"/>
    </row>
    <row r="149" spans="1:5" ht="24.95" customHeight="1">
      <c r="A149" s="91" t="s">
        <v>8</v>
      </c>
      <c r="B149" s="92" t="s">
        <v>185</v>
      </c>
      <c r="C149" s="92" t="s">
        <v>180</v>
      </c>
      <c r="D149" s="31"/>
      <c r="E149" s="35"/>
    </row>
    <row r="150" spans="1:5" ht="24.95" customHeight="1">
      <c r="A150" s="91" t="s">
        <v>8</v>
      </c>
      <c r="B150" s="92" t="s">
        <v>186</v>
      </c>
      <c r="C150" s="92" t="s">
        <v>180</v>
      </c>
      <c r="D150" s="31"/>
      <c r="E150" s="35"/>
    </row>
    <row r="151" spans="1:5" ht="24.95" customHeight="1">
      <c r="A151" s="91" t="s">
        <v>8</v>
      </c>
      <c r="B151" s="92" t="s">
        <v>147</v>
      </c>
      <c r="C151" s="92" t="s">
        <v>180</v>
      </c>
      <c r="D151" s="31"/>
      <c r="E151" s="35"/>
    </row>
    <row r="152" spans="1:5" ht="24.95" customHeight="1">
      <c r="A152" s="91" t="s">
        <v>8</v>
      </c>
      <c r="B152" s="92" t="s">
        <v>187</v>
      </c>
      <c r="C152" s="92" t="s">
        <v>188</v>
      </c>
      <c r="D152" s="31"/>
      <c r="E152" s="35"/>
    </row>
    <row r="153" spans="1:5" ht="24.95" customHeight="1">
      <c r="A153" s="91" t="s">
        <v>8</v>
      </c>
      <c r="B153" s="92" t="s">
        <v>189</v>
      </c>
      <c r="C153" s="92" t="s">
        <v>188</v>
      </c>
      <c r="D153" s="31"/>
      <c r="E153" s="35"/>
    </row>
    <row r="154" spans="1:5" ht="24.95" customHeight="1">
      <c r="A154" s="91" t="s">
        <v>8</v>
      </c>
      <c r="B154" s="92" t="s">
        <v>190</v>
      </c>
      <c r="C154" s="92" t="s">
        <v>188</v>
      </c>
      <c r="D154" s="31"/>
      <c r="E154" s="35"/>
    </row>
    <row r="155" spans="1:5" ht="24.95" customHeight="1">
      <c r="A155" s="91" t="s">
        <v>8</v>
      </c>
      <c r="B155" s="92" t="s">
        <v>191</v>
      </c>
      <c r="C155" s="92" t="s">
        <v>188</v>
      </c>
      <c r="D155" s="31"/>
      <c r="E155" s="35"/>
    </row>
    <row r="156" spans="1:5" ht="24.95" customHeight="1">
      <c r="A156" s="91" t="s">
        <v>8</v>
      </c>
      <c r="B156" s="92" t="s">
        <v>147</v>
      </c>
      <c r="C156" s="92" t="s">
        <v>188</v>
      </c>
      <c r="D156" s="31"/>
      <c r="E156" s="35"/>
    </row>
    <row r="157" spans="1:5" ht="24.95" customHeight="1">
      <c r="A157" s="91" t="s">
        <v>8</v>
      </c>
      <c r="B157" s="92" t="s">
        <v>192</v>
      </c>
      <c r="C157" s="92" t="s">
        <v>193</v>
      </c>
      <c r="D157" s="31"/>
      <c r="E157" s="35"/>
    </row>
    <row r="158" spans="1:5" ht="24.95" customHeight="1">
      <c r="A158" s="91" t="s">
        <v>8</v>
      </c>
      <c r="B158" s="92" t="s">
        <v>194</v>
      </c>
      <c r="C158" s="92" t="s">
        <v>193</v>
      </c>
      <c r="D158" s="31"/>
      <c r="E158" s="35"/>
    </row>
    <row r="159" spans="1:5" ht="24.95" customHeight="1">
      <c r="A159" s="91" t="s">
        <v>8</v>
      </c>
      <c r="B159" s="92" t="s">
        <v>195</v>
      </c>
      <c r="C159" s="92" t="s">
        <v>193</v>
      </c>
      <c r="D159" s="31"/>
      <c r="E159" s="35"/>
    </row>
    <row r="160" spans="1:5" ht="24.95" customHeight="1">
      <c r="A160" s="91" t="s">
        <v>8</v>
      </c>
      <c r="B160" s="92" t="s">
        <v>196</v>
      </c>
      <c r="C160" s="92" t="s">
        <v>193</v>
      </c>
      <c r="D160" s="31"/>
      <c r="E160" s="35"/>
    </row>
    <row r="161" spans="1:5" ht="24.95" customHeight="1">
      <c r="A161" s="91" t="s">
        <v>8</v>
      </c>
      <c r="B161" s="92" t="s">
        <v>197</v>
      </c>
      <c r="C161" s="92" t="s">
        <v>193</v>
      </c>
      <c r="D161" s="31"/>
      <c r="E161" s="35"/>
    </row>
    <row r="162" spans="1:5" ht="24.95" customHeight="1">
      <c r="A162" s="91" t="s">
        <v>8</v>
      </c>
      <c r="B162" s="92" t="s">
        <v>198</v>
      </c>
      <c r="C162" s="92" t="s">
        <v>193</v>
      </c>
      <c r="D162" s="31"/>
      <c r="E162" s="35"/>
    </row>
    <row r="163" spans="1:5" ht="24.95" customHeight="1">
      <c r="A163" s="91" t="s">
        <v>8</v>
      </c>
      <c r="B163" s="92" t="s">
        <v>199</v>
      </c>
      <c r="C163" s="92" t="s">
        <v>193</v>
      </c>
      <c r="D163" s="31"/>
      <c r="E163" s="35"/>
    </row>
    <row r="164" spans="1:5" ht="24.95" customHeight="1">
      <c r="A164" s="91" t="s">
        <v>8</v>
      </c>
      <c r="B164" s="92" t="s">
        <v>147</v>
      </c>
      <c r="C164" s="92" t="s">
        <v>193</v>
      </c>
      <c r="D164" s="31"/>
      <c r="E164" s="35"/>
    </row>
    <row r="165" spans="1:5" ht="24.95" customHeight="1">
      <c r="A165" s="91" t="s">
        <v>8</v>
      </c>
      <c r="B165" s="92" t="s">
        <v>200</v>
      </c>
      <c r="C165" s="92" t="s">
        <v>201</v>
      </c>
      <c r="D165" s="31"/>
      <c r="E165" s="35"/>
    </row>
    <row r="166" spans="1:5" ht="24.95" customHeight="1">
      <c r="A166" s="91" t="s">
        <v>8</v>
      </c>
      <c r="B166" s="92" t="s">
        <v>202</v>
      </c>
      <c r="C166" s="92" t="s">
        <v>201</v>
      </c>
      <c r="D166" s="31"/>
      <c r="E166" s="35"/>
    </row>
    <row r="167" spans="1:5" ht="24.95" customHeight="1">
      <c r="A167" s="91" t="s">
        <v>8</v>
      </c>
      <c r="B167" s="92" t="s">
        <v>203</v>
      </c>
      <c r="C167" s="92" t="s">
        <v>201</v>
      </c>
      <c r="D167" s="31"/>
      <c r="E167" s="35"/>
    </row>
    <row r="168" spans="1:5" ht="24.95" customHeight="1">
      <c r="A168" s="91" t="s">
        <v>8</v>
      </c>
      <c r="B168" s="92" t="s">
        <v>204</v>
      </c>
      <c r="C168" s="92" t="s">
        <v>201</v>
      </c>
      <c r="D168" s="31"/>
      <c r="E168" s="35"/>
    </row>
    <row r="169" spans="1:5" ht="24.95" customHeight="1">
      <c r="A169" s="91" t="s">
        <v>8</v>
      </c>
      <c r="B169" s="92" t="s">
        <v>147</v>
      </c>
      <c r="C169" s="92" t="s">
        <v>201</v>
      </c>
      <c r="D169" s="31"/>
      <c r="E169" s="35"/>
    </row>
    <row r="170" spans="1:5" ht="24.95" customHeight="1">
      <c r="A170" s="91" t="s">
        <v>8</v>
      </c>
      <c r="B170" s="92" t="s">
        <v>205</v>
      </c>
      <c r="C170" s="92" t="s">
        <v>388</v>
      </c>
      <c r="D170" s="31"/>
      <c r="E170" s="35"/>
    </row>
    <row r="171" spans="1:5" ht="24.95" customHeight="1">
      <c r="A171" s="91" t="s">
        <v>8</v>
      </c>
      <c r="B171" s="92" t="s">
        <v>206</v>
      </c>
      <c r="C171" s="92" t="s">
        <v>388</v>
      </c>
      <c r="D171" s="31"/>
      <c r="E171" s="35"/>
    </row>
    <row r="172" spans="1:5" ht="24.95" customHeight="1">
      <c r="A172" s="91" t="s">
        <v>8</v>
      </c>
      <c r="B172" s="92" t="s">
        <v>207</v>
      </c>
      <c r="C172" s="92" t="s">
        <v>388</v>
      </c>
      <c r="D172" s="31"/>
      <c r="E172" s="35"/>
    </row>
    <row r="173" spans="1:5" ht="24.95" customHeight="1">
      <c r="A173" s="91" t="s">
        <v>8</v>
      </c>
      <c r="B173" s="92" t="s">
        <v>208</v>
      </c>
      <c r="C173" s="92" t="s">
        <v>388</v>
      </c>
      <c r="D173" s="31"/>
      <c r="E173" s="35"/>
    </row>
    <row r="174" spans="1:5" ht="24.95" customHeight="1">
      <c r="A174" s="91" t="s">
        <v>8</v>
      </c>
      <c r="B174" s="92" t="s">
        <v>209</v>
      </c>
      <c r="C174" s="92" t="s">
        <v>388</v>
      </c>
      <c r="D174" s="31"/>
      <c r="E174" s="35"/>
    </row>
    <row r="175" spans="1:5" ht="24.95" customHeight="1">
      <c r="A175" s="91" t="s">
        <v>8</v>
      </c>
      <c r="B175" s="92" t="s">
        <v>147</v>
      </c>
      <c r="C175" s="92" t="s">
        <v>388</v>
      </c>
      <c r="D175" s="31"/>
      <c r="E175" s="35"/>
    </row>
    <row r="176" spans="1:5" ht="24.95" customHeight="1">
      <c r="A176" s="91" t="s">
        <v>8</v>
      </c>
      <c r="B176" s="92" t="s">
        <v>210</v>
      </c>
      <c r="C176" s="92" t="s">
        <v>211</v>
      </c>
      <c r="D176" s="31"/>
      <c r="E176" s="35"/>
    </row>
    <row r="177" spans="1:5" ht="24.95" customHeight="1">
      <c r="A177" s="91" t="s">
        <v>8</v>
      </c>
      <c r="B177" s="92" t="s">
        <v>212</v>
      </c>
      <c r="C177" s="92" t="s">
        <v>211</v>
      </c>
      <c r="D177" s="31"/>
      <c r="E177" s="35"/>
    </row>
    <row r="178" spans="1:5" ht="24.95" customHeight="1">
      <c r="A178" s="91" t="s">
        <v>8</v>
      </c>
      <c r="B178" s="92" t="s">
        <v>213</v>
      </c>
      <c r="C178" s="92" t="s">
        <v>211</v>
      </c>
      <c r="D178" s="31"/>
      <c r="E178" s="35"/>
    </row>
    <row r="179" spans="1:5" ht="24.95" customHeight="1">
      <c r="A179" s="91" t="s">
        <v>8</v>
      </c>
      <c r="B179" s="92" t="s">
        <v>214</v>
      </c>
      <c r="C179" s="92" t="s">
        <v>211</v>
      </c>
      <c r="D179" s="31"/>
      <c r="E179" s="35"/>
    </row>
    <row r="180" spans="1:5" ht="24.95" customHeight="1">
      <c r="A180" s="91" t="s">
        <v>8</v>
      </c>
      <c r="B180" s="92" t="s">
        <v>215</v>
      </c>
      <c r="C180" s="92" t="s">
        <v>211</v>
      </c>
      <c r="D180" s="31"/>
      <c r="E180" s="35"/>
    </row>
    <row r="181" spans="1:5" ht="24.95" customHeight="1">
      <c r="A181" s="91" t="s">
        <v>8</v>
      </c>
      <c r="B181" s="92" t="s">
        <v>216</v>
      </c>
      <c r="C181" s="92" t="s">
        <v>211</v>
      </c>
      <c r="D181" s="31"/>
      <c r="E181" s="35"/>
    </row>
    <row r="182" spans="1:5" ht="24.95" customHeight="1">
      <c r="A182" s="91" t="s">
        <v>8</v>
      </c>
      <c r="B182" s="92" t="s">
        <v>147</v>
      </c>
      <c r="C182" s="92" t="s">
        <v>211</v>
      </c>
      <c r="D182" s="31"/>
      <c r="E182" s="35"/>
    </row>
    <row r="183" spans="1:5" ht="24.95" customHeight="1">
      <c r="A183" s="91" t="s">
        <v>8</v>
      </c>
      <c r="B183" s="92" t="s">
        <v>217</v>
      </c>
      <c r="C183" s="92" t="s">
        <v>218</v>
      </c>
      <c r="D183" s="31"/>
      <c r="E183" s="35"/>
    </row>
    <row r="184" spans="1:5" ht="24.95" customHeight="1">
      <c r="A184" s="91" t="s">
        <v>8</v>
      </c>
      <c r="B184" s="92" t="s">
        <v>219</v>
      </c>
      <c r="C184" s="92" t="s">
        <v>218</v>
      </c>
      <c r="D184" s="31"/>
      <c r="E184" s="35"/>
    </row>
    <row r="185" spans="1:5" ht="24.95" customHeight="1">
      <c r="A185" s="91" t="s">
        <v>8</v>
      </c>
      <c r="B185" s="92" t="s">
        <v>220</v>
      </c>
      <c r="C185" s="92" t="s">
        <v>218</v>
      </c>
      <c r="D185" s="31"/>
      <c r="E185" s="35"/>
    </row>
    <row r="186" spans="1:5" ht="24.95" customHeight="1">
      <c r="A186" s="91" t="s">
        <v>8</v>
      </c>
      <c r="B186" s="92" t="s">
        <v>221</v>
      </c>
      <c r="C186" s="92" t="s">
        <v>218</v>
      </c>
      <c r="D186" s="31"/>
      <c r="E186" s="35"/>
    </row>
    <row r="187" spans="1:5" ht="24.95" customHeight="1">
      <c r="A187" s="91" t="s">
        <v>8</v>
      </c>
      <c r="B187" s="92" t="s">
        <v>222</v>
      </c>
      <c r="C187" s="92" t="s">
        <v>218</v>
      </c>
      <c r="D187" s="31"/>
      <c r="E187" s="35"/>
    </row>
    <row r="188" spans="1:5" ht="24.95" customHeight="1">
      <c r="A188" s="91" t="s">
        <v>8</v>
      </c>
      <c r="B188" s="92" t="s">
        <v>223</v>
      </c>
      <c r="C188" s="92" t="s">
        <v>218</v>
      </c>
      <c r="D188" s="31"/>
      <c r="E188" s="35"/>
    </row>
    <row r="189" spans="1:5" ht="24.95" customHeight="1">
      <c r="A189" s="91" t="s">
        <v>8</v>
      </c>
      <c r="B189" s="92" t="s">
        <v>224</v>
      </c>
      <c r="C189" s="92" t="s">
        <v>218</v>
      </c>
      <c r="D189" s="31"/>
      <c r="E189" s="35"/>
    </row>
    <row r="190" spans="1:5" ht="24.95" customHeight="1">
      <c r="A190" s="91" t="s">
        <v>8</v>
      </c>
      <c r="B190" s="92" t="s">
        <v>225</v>
      </c>
      <c r="C190" s="92" t="s">
        <v>218</v>
      </c>
      <c r="D190" s="31"/>
      <c r="E190" s="35"/>
    </row>
    <row r="191" spans="1:5" ht="24.95" customHeight="1">
      <c r="A191" s="91" t="s">
        <v>8</v>
      </c>
      <c r="B191" s="92" t="s">
        <v>226</v>
      </c>
      <c r="C191" s="92" t="s">
        <v>227</v>
      </c>
      <c r="D191" s="31"/>
      <c r="E191" s="35"/>
    </row>
    <row r="192" spans="1:5" ht="24.95" customHeight="1">
      <c r="A192" s="91" t="s">
        <v>8</v>
      </c>
      <c r="B192" s="92" t="s">
        <v>228</v>
      </c>
      <c r="C192" s="92" t="s">
        <v>227</v>
      </c>
      <c r="D192" s="31"/>
      <c r="E192" s="35"/>
    </row>
    <row r="193" spans="1:5" ht="24.95" customHeight="1">
      <c r="A193" s="91" t="s">
        <v>8</v>
      </c>
      <c r="B193" s="92" t="s">
        <v>229</v>
      </c>
      <c r="C193" s="92" t="s">
        <v>227</v>
      </c>
      <c r="D193" s="31"/>
      <c r="E193" s="35"/>
    </row>
    <row r="194" spans="1:5" ht="24.95" customHeight="1">
      <c r="A194" s="91" t="s">
        <v>8</v>
      </c>
      <c r="B194" s="92" t="s">
        <v>230</v>
      </c>
      <c r="C194" s="92" t="s">
        <v>227</v>
      </c>
      <c r="D194" s="31"/>
      <c r="E194" s="35"/>
    </row>
    <row r="195" spans="1:5" ht="24.95" customHeight="1">
      <c r="A195" s="91" t="s">
        <v>8</v>
      </c>
      <c r="B195" s="92" t="s">
        <v>231</v>
      </c>
      <c r="C195" s="92" t="s">
        <v>227</v>
      </c>
      <c r="D195" s="31"/>
      <c r="E195" s="35"/>
    </row>
    <row r="196" spans="1:5" ht="24.95" customHeight="1">
      <c r="A196" s="91" t="s">
        <v>8</v>
      </c>
      <c r="B196" s="92" t="s">
        <v>232</v>
      </c>
      <c r="C196" s="92" t="s">
        <v>227</v>
      </c>
      <c r="D196" s="31"/>
      <c r="E196" s="35"/>
    </row>
    <row r="197" spans="1:5" ht="24.95" customHeight="1">
      <c r="A197" s="91" t="s">
        <v>8</v>
      </c>
      <c r="B197" s="92" t="s">
        <v>233</v>
      </c>
      <c r="C197" s="92" t="s">
        <v>227</v>
      </c>
      <c r="D197" s="31"/>
      <c r="E197" s="35"/>
    </row>
    <row r="198" spans="1:5" ht="24.95" customHeight="1">
      <c r="A198" s="91" t="s">
        <v>8</v>
      </c>
      <c r="B198" s="92" t="s">
        <v>147</v>
      </c>
      <c r="C198" s="92" t="s">
        <v>227</v>
      </c>
      <c r="D198" s="31"/>
      <c r="E198" s="35"/>
    </row>
    <row r="199" spans="1:5" ht="24.95" customHeight="1">
      <c r="A199" s="91" t="s">
        <v>8</v>
      </c>
      <c r="B199" s="92" t="s">
        <v>234</v>
      </c>
      <c r="C199" s="92" t="s">
        <v>235</v>
      </c>
      <c r="D199" s="31"/>
      <c r="E199" s="35"/>
    </row>
    <row r="200" spans="1:5" ht="24.95" customHeight="1">
      <c r="A200" s="91" t="s">
        <v>8</v>
      </c>
      <c r="B200" s="92" t="s">
        <v>236</v>
      </c>
      <c r="C200" s="92" t="s">
        <v>235</v>
      </c>
      <c r="D200" s="31"/>
      <c r="E200" s="35"/>
    </row>
    <row r="201" spans="1:5" ht="24.95" customHeight="1">
      <c r="A201" s="91" t="s">
        <v>8</v>
      </c>
      <c r="B201" s="92" t="s">
        <v>237</v>
      </c>
      <c r="C201" s="92" t="s">
        <v>235</v>
      </c>
      <c r="D201" s="31"/>
      <c r="E201" s="35"/>
    </row>
    <row r="202" spans="1:5" ht="24.95" customHeight="1">
      <c r="A202" s="91" t="s">
        <v>8</v>
      </c>
      <c r="B202" s="92" t="s">
        <v>238</v>
      </c>
      <c r="C202" s="92" t="s">
        <v>235</v>
      </c>
      <c r="D202" s="31"/>
      <c r="E202" s="35"/>
    </row>
    <row r="203" spans="1:5" ht="24.95" customHeight="1">
      <c r="A203" s="91" t="s">
        <v>8</v>
      </c>
      <c r="B203" s="92" t="s">
        <v>239</v>
      </c>
      <c r="C203" s="92" t="s">
        <v>235</v>
      </c>
      <c r="D203" s="31"/>
      <c r="E203" s="35"/>
    </row>
    <row r="204" spans="1:5" ht="24.95" customHeight="1">
      <c r="A204" s="91" t="s">
        <v>8</v>
      </c>
      <c r="B204" s="92" t="s">
        <v>147</v>
      </c>
      <c r="C204" s="92" t="s">
        <v>235</v>
      </c>
      <c r="D204" s="31"/>
      <c r="E204" s="35"/>
    </row>
    <row r="205" spans="1:5" ht="24.95" customHeight="1">
      <c r="A205" s="91" t="s">
        <v>8</v>
      </c>
      <c r="B205" s="92" t="s">
        <v>240</v>
      </c>
      <c r="C205" s="92" t="s">
        <v>241</v>
      </c>
      <c r="D205" s="31"/>
      <c r="E205" s="35"/>
    </row>
    <row r="206" spans="1:5" ht="24.95" customHeight="1">
      <c r="A206" s="91" t="s">
        <v>8</v>
      </c>
      <c r="B206" s="92" t="s">
        <v>242</v>
      </c>
      <c r="C206" s="92" t="s">
        <v>241</v>
      </c>
      <c r="D206" s="31"/>
      <c r="E206" s="35"/>
    </row>
    <row r="207" spans="1:5" ht="24.95" customHeight="1">
      <c r="A207" s="91" t="s">
        <v>8</v>
      </c>
      <c r="B207" s="92" t="s">
        <v>243</v>
      </c>
      <c r="C207" s="92" t="s">
        <v>241</v>
      </c>
      <c r="D207" s="31"/>
      <c r="E207" s="35"/>
    </row>
    <row r="208" spans="1:5" ht="24.95" customHeight="1">
      <c r="A208" s="91" t="s">
        <v>8</v>
      </c>
      <c r="B208" s="92" t="s">
        <v>244</v>
      </c>
      <c r="C208" s="92" t="s">
        <v>241</v>
      </c>
      <c r="D208" s="31"/>
      <c r="E208" s="35"/>
    </row>
    <row r="209" spans="1:5" ht="24.95" customHeight="1">
      <c r="A209" s="91" t="s">
        <v>8</v>
      </c>
      <c r="B209" s="92" t="s">
        <v>245</v>
      </c>
      <c r="C209" s="92" t="s">
        <v>241</v>
      </c>
      <c r="D209" s="31"/>
      <c r="E209" s="35"/>
    </row>
    <row r="210" spans="1:5" ht="24.95" customHeight="1">
      <c r="A210" s="91" t="s">
        <v>8</v>
      </c>
      <c r="B210" s="92" t="s">
        <v>246</v>
      </c>
      <c r="C210" s="92" t="s">
        <v>241</v>
      </c>
      <c r="D210" s="31"/>
      <c r="E210" s="35"/>
    </row>
    <row r="211" spans="1:5" ht="24.95" customHeight="1">
      <c r="A211" s="91" t="s">
        <v>8</v>
      </c>
      <c r="B211" s="92" t="s">
        <v>147</v>
      </c>
      <c r="C211" s="92" t="s">
        <v>241</v>
      </c>
      <c r="D211" s="31"/>
      <c r="E211" s="35"/>
    </row>
    <row r="212" spans="1:5" ht="24.95" customHeight="1">
      <c r="A212" s="91" t="s">
        <v>8</v>
      </c>
      <c r="B212" s="92" t="s">
        <v>247</v>
      </c>
      <c r="C212" s="92" t="s">
        <v>248</v>
      </c>
      <c r="D212" s="31"/>
      <c r="E212" s="35"/>
    </row>
    <row r="213" spans="1:5" ht="24.95" customHeight="1">
      <c r="A213" s="91" t="s">
        <v>8</v>
      </c>
      <c r="B213" s="92" t="s">
        <v>249</v>
      </c>
      <c r="C213" s="92" t="s">
        <v>248</v>
      </c>
      <c r="D213" s="31"/>
      <c r="E213" s="35"/>
    </row>
    <row r="214" spans="1:5" ht="24.95" customHeight="1">
      <c r="A214" s="91" t="s">
        <v>8</v>
      </c>
      <c r="B214" s="92" t="s">
        <v>250</v>
      </c>
      <c r="C214" s="92" t="s">
        <v>248</v>
      </c>
      <c r="D214" s="31"/>
      <c r="E214" s="35"/>
    </row>
    <row r="215" spans="1:5" ht="24.95" customHeight="1">
      <c r="A215" s="91" t="s">
        <v>8</v>
      </c>
      <c r="B215" s="92" t="s">
        <v>251</v>
      </c>
      <c r="C215" s="92" t="s">
        <v>248</v>
      </c>
      <c r="D215" s="31"/>
      <c r="E215" s="35"/>
    </row>
    <row r="216" spans="1:5" ht="24.95" customHeight="1">
      <c r="A216" s="91" t="s">
        <v>8</v>
      </c>
      <c r="B216" s="92" t="s">
        <v>252</v>
      </c>
      <c r="C216" s="92" t="s">
        <v>248</v>
      </c>
      <c r="D216" s="31"/>
      <c r="E216" s="35"/>
    </row>
    <row r="217" spans="1:5" ht="24.95" customHeight="1">
      <c r="A217" s="91" t="s">
        <v>8</v>
      </c>
      <c r="B217" s="92" t="s">
        <v>253</v>
      </c>
      <c r="C217" s="92" t="s">
        <v>248</v>
      </c>
      <c r="D217" s="31"/>
      <c r="E217" s="35"/>
    </row>
    <row r="218" spans="1:5" ht="24.95" customHeight="1">
      <c r="A218" s="91" t="s">
        <v>8</v>
      </c>
      <c r="B218" s="92" t="s">
        <v>254</v>
      </c>
      <c r="C218" s="92" t="s">
        <v>248</v>
      </c>
      <c r="D218" s="31"/>
      <c r="E218" s="35"/>
    </row>
    <row r="219" spans="1:5" ht="24.95" customHeight="1">
      <c r="A219" s="91" t="s">
        <v>8</v>
      </c>
      <c r="B219" s="92" t="s">
        <v>147</v>
      </c>
      <c r="C219" s="92" t="s">
        <v>248</v>
      </c>
      <c r="D219" s="31"/>
      <c r="E219" s="35"/>
    </row>
    <row r="220" spans="1:5" ht="24.95" customHeight="1">
      <c r="A220" s="91" t="s">
        <v>8</v>
      </c>
      <c r="B220" s="92" t="s">
        <v>255</v>
      </c>
      <c r="C220" s="92" t="s">
        <v>256</v>
      </c>
      <c r="D220" s="31"/>
      <c r="E220" s="35"/>
    </row>
    <row r="221" spans="1:5" ht="24.95" customHeight="1">
      <c r="A221" s="91" t="s">
        <v>8</v>
      </c>
      <c r="B221" s="92" t="s">
        <v>257</v>
      </c>
      <c r="C221" s="92" t="s">
        <v>256</v>
      </c>
      <c r="D221" s="31"/>
      <c r="E221" s="35"/>
    </row>
    <row r="222" spans="1:5" ht="24.95" customHeight="1">
      <c r="A222" s="91" t="s">
        <v>8</v>
      </c>
      <c r="B222" s="92" t="s">
        <v>258</v>
      </c>
      <c r="C222" s="92" t="s">
        <v>256</v>
      </c>
      <c r="D222" s="31"/>
      <c r="E222" s="35"/>
    </row>
    <row r="223" spans="1:5" ht="24.95" customHeight="1">
      <c r="A223" s="91" t="s">
        <v>8</v>
      </c>
      <c r="B223" s="92" t="s">
        <v>259</v>
      </c>
      <c r="C223" s="92" t="s">
        <v>256</v>
      </c>
      <c r="D223" s="31"/>
      <c r="E223" s="35"/>
    </row>
    <row r="224" spans="1:5" ht="24.95" customHeight="1">
      <c r="A224" s="91" t="s">
        <v>8</v>
      </c>
      <c r="B224" s="92" t="s">
        <v>260</v>
      </c>
      <c r="C224" s="92" t="s">
        <v>256</v>
      </c>
      <c r="D224" s="31"/>
      <c r="E224" s="35"/>
    </row>
    <row r="225" spans="1:5" ht="24.95" customHeight="1">
      <c r="A225" s="91" t="s">
        <v>8</v>
      </c>
      <c r="B225" s="92" t="s">
        <v>261</v>
      </c>
      <c r="C225" s="92" t="s">
        <v>256</v>
      </c>
      <c r="D225" s="31"/>
      <c r="E225" s="35"/>
    </row>
    <row r="226" spans="1:5" ht="24.95" customHeight="1">
      <c r="A226" s="91" t="s">
        <v>8</v>
      </c>
      <c r="B226" s="92" t="s">
        <v>262</v>
      </c>
      <c r="C226" s="92" t="s">
        <v>256</v>
      </c>
      <c r="D226" s="31"/>
      <c r="E226" s="35"/>
    </row>
    <row r="227" spans="1:5" ht="24.95" customHeight="1">
      <c r="A227" s="93" t="s">
        <v>8</v>
      </c>
      <c r="B227" s="94" t="s">
        <v>263</v>
      </c>
      <c r="C227" s="94" t="s">
        <v>256</v>
      </c>
      <c r="D227" s="101"/>
      <c r="E227" s="37"/>
    </row>
    <row r="228" spans="1:5" ht="24.95" customHeight="1">
      <c r="A228" s="91" t="s">
        <v>10</v>
      </c>
      <c r="B228" s="92" t="s">
        <v>285</v>
      </c>
      <c r="C228" s="92" t="s">
        <v>293</v>
      </c>
      <c r="D228" s="101"/>
      <c r="E228" s="37"/>
    </row>
    <row r="229" spans="1:5" ht="24.95" customHeight="1">
      <c r="A229" s="91" t="s">
        <v>10</v>
      </c>
      <c r="B229" s="95" t="s">
        <v>286</v>
      </c>
      <c r="C229" s="92" t="s">
        <v>293</v>
      </c>
      <c r="D229" s="101"/>
      <c r="E229" s="37"/>
    </row>
    <row r="230" spans="1:5" ht="24.95" customHeight="1">
      <c r="A230" s="91" t="s">
        <v>10</v>
      </c>
      <c r="B230" s="95" t="s">
        <v>287</v>
      </c>
      <c r="C230" s="92" t="s">
        <v>294</v>
      </c>
      <c r="D230" s="31"/>
      <c r="E230" s="35"/>
    </row>
    <row r="231" spans="1:5" ht="24.95" customHeight="1">
      <c r="A231" s="91" t="s">
        <v>10</v>
      </c>
      <c r="B231" s="95" t="s">
        <v>288</v>
      </c>
      <c r="C231" s="92" t="s">
        <v>294</v>
      </c>
      <c r="D231" s="31"/>
      <c r="E231" s="35"/>
    </row>
    <row r="232" spans="1:5" ht="24.95" customHeight="1">
      <c r="A232" s="91" t="s">
        <v>10</v>
      </c>
      <c r="B232" s="95" t="s">
        <v>289</v>
      </c>
      <c r="C232" s="92" t="s">
        <v>294</v>
      </c>
      <c r="D232" s="31"/>
      <c r="E232" s="35"/>
    </row>
    <row r="233" spans="1:5" ht="24.95" customHeight="1">
      <c r="A233" s="91" t="s">
        <v>10</v>
      </c>
      <c r="B233" s="95" t="s">
        <v>290</v>
      </c>
      <c r="C233" s="92" t="s">
        <v>295</v>
      </c>
      <c r="D233" s="31"/>
      <c r="E233" s="35"/>
    </row>
    <row r="234" spans="1:5" ht="24.95" customHeight="1">
      <c r="A234" s="91" t="s">
        <v>10</v>
      </c>
      <c r="B234" s="95" t="s">
        <v>291</v>
      </c>
      <c r="C234" s="92" t="s">
        <v>296</v>
      </c>
      <c r="D234" s="31"/>
      <c r="E234" s="35"/>
    </row>
    <row r="235" spans="1:5" ht="24.95" customHeight="1">
      <c r="A235" s="93" t="s">
        <v>10</v>
      </c>
      <c r="B235" s="96" t="s">
        <v>292</v>
      </c>
      <c r="C235" s="92" t="s">
        <v>296</v>
      </c>
      <c r="D235" s="101"/>
      <c r="E235" s="37"/>
    </row>
    <row r="236" spans="1:5" ht="24.95" customHeight="1">
      <c r="A236" s="97" t="s">
        <v>300</v>
      </c>
      <c r="B236" s="98" t="s">
        <v>344</v>
      </c>
      <c r="C236" s="98" t="s">
        <v>345</v>
      </c>
      <c r="D236" s="31"/>
      <c r="E236" s="35"/>
    </row>
    <row r="237" spans="1:5" ht="24.95" customHeight="1">
      <c r="A237" s="97" t="s">
        <v>300</v>
      </c>
      <c r="B237" s="98" t="s">
        <v>346</v>
      </c>
      <c r="C237" s="98" t="s">
        <v>345</v>
      </c>
      <c r="D237" s="31"/>
      <c r="E237" s="35"/>
    </row>
    <row r="238" spans="1:5" ht="24.95" customHeight="1">
      <c r="A238" s="97" t="s">
        <v>300</v>
      </c>
      <c r="B238" s="98" t="s">
        <v>347</v>
      </c>
      <c r="C238" s="98" t="s">
        <v>345</v>
      </c>
      <c r="D238" s="31"/>
      <c r="E238" s="35"/>
    </row>
    <row r="239" spans="1:5" ht="24.95" customHeight="1">
      <c r="A239" s="97" t="s">
        <v>300</v>
      </c>
      <c r="B239" s="98" t="s">
        <v>348</v>
      </c>
      <c r="C239" s="98" t="s">
        <v>349</v>
      </c>
      <c r="D239" s="31"/>
      <c r="E239" s="35"/>
    </row>
    <row r="240" spans="1:5" ht="24.95" customHeight="1">
      <c r="A240" s="97" t="s">
        <v>300</v>
      </c>
      <c r="B240" s="98" t="s">
        <v>350</v>
      </c>
      <c r="C240" s="98" t="s">
        <v>349</v>
      </c>
      <c r="D240" s="31"/>
      <c r="E240" s="35"/>
    </row>
    <row r="241" spans="1:5" ht="24.95" customHeight="1">
      <c r="A241" s="97" t="s">
        <v>300</v>
      </c>
      <c r="B241" s="98" t="s">
        <v>351</v>
      </c>
      <c r="C241" s="98" t="s">
        <v>349</v>
      </c>
      <c r="D241" s="31"/>
      <c r="E241" s="35"/>
    </row>
    <row r="242" spans="1:5" ht="24.95" customHeight="1">
      <c r="A242" s="97" t="s">
        <v>300</v>
      </c>
      <c r="B242" s="98" t="s">
        <v>352</v>
      </c>
      <c r="C242" s="98" t="s">
        <v>349</v>
      </c>
      <c r="D242" s="31"/>
      <c r="E242" s="35"/>
    </row>
    <row r="243" spans="1:5" ht="24.95" customHeight="1">
      <c r="A243" s="97" t="s">
        <v>300</v>
      </c>
      <c r="B243" s="98" t="s">
        <v>353</v>
      </c>
      <c r="C243" s="98" t="s">
        <v>354</v>
      </c>
      <c r="D243" s="31"/>
      <c r="E243" s="35"/>
    </row>
    <row r="244" spans="1:5" ht="24.95" customHeight="1">
      <c r="A244" s="97" t="s">
        <v>300</v>
      </c>
      <c r="B244" s="98" t="s">
        <v>355</v>
      </c>
      <c r="C244" s="98" t="s">
        <v>354</v>
      </c>
      <c r="D244" s="31"/>
      <c r="E244" s="35"/>
    </row>
    <row r="245" spans="1:5" ht="24.95" customHeight="1">
      <c r="A245" s="97" t="s">
        <v>300</v>
      </c>
      <c r="B245" s="98" t="s">
        <v>356</v>
      </c>
      <c r="C245" s="98" t="s">
        <v>354</v>
      </c>
      <c r="D245" s="31"/>
      <c r="E245" s="35"/>
    </row>
    <row r="246" spans="1:5" ht="24.95" customHeight="1">
      <c r="A246" s="97" t="s">
        <v>300</v>
      </c>
      <c r="B246" s="98" t="s">
        <v>357</v>
      </c>
      <c r="C246" s="98" t="s">
        <v>354</v>
      </c>
      <c r="D246" s="31"/>
      <c r="E246" s="35"/>
    </row>
    <row r="247" spans="1:5" ht="24.95" customHeight="1">
      <c r="A247" s="97" t="s">
        <v>300</v>
      </c>
      <c r="B247" s="98" t="s">
        <v>358</v>
      </c>
      <c r="C247" s="98" t="s">
        <v>354</v>
      </c>
      <c r="D247" s="31"/>
      <c r="E247" s="35"/>
    </row>
    <row r="248" spans="1:5" ht="24.95" customHeight="1">
      <c r="A248" s="97" t="s">
        <v>300</v>
      </c>
      <c r="B248" s="98" t="s">
        <v>359</v>
      </c>
      <c r="C248" s="98" t="s">
        <v>354</v>
      </c>
      <c r="D248" s="31"/>
      <c r="E248" s="35"/>
    </row>
    <row r="249" spans="1:5" ht="24.95" customHeight="1">
      <c r="A249" s="97" t="s">
        <v>300</v>
      </c>
      <c r="B249" s="98" t="s">
        <v>360</v>
      </c>
      <c r="C249" s="98" t="s">
        <v>361</v>
      </c>
      <c r="D249" s="31"/>
      <c r="E249" s="35"/>
    </row>
    <row r="250" spans="1:5" ht="24.95" customHeight="1">
      <c r="A250" s="97" t="s">
        <v>300</v>
      </c>
      <c r="B250" s="98" t="s">
        <v>362</v>
      </c>
      <c r="C250" s="98" t="s">
        <v>361</v>
      </c>
      <c r="D250" s="31"/>
      <c r="E250" s="35"/>
    </row>
    <row r="251" spans="1:5" ht="24.95" customHeight="1">
      <c r="A251" s="97" t="s">
        <v>300</v>
      </c>
      <c r="B251" s="98" t="s">
        <v>363</v>
      </c>
      <c r="C251" s="98" t="s">
        <v>361</v>
      </c>
      <c r="D251" s="31"/>
      <c r="E251" s="35"/>
    </row>
    <row r="252" spans="1:5" ht="24.95" customHeight="1">
      <c r="A252" s="97" t="s">
        <v>300</v>
      </c>
      <c r="B252" s="98" t="s">
        <v>364</v>
      </c>
      <c r="C252" s="98" t="s">
        <v>361</v>
      </c>
      <c r="D252" s="31"/>
      <c r="E252" s="35"/>
    </row>
    <row r="253" spans="1:5" ht="24.95" customHeight="1">
      <c r="A253" s="97" t="s">
        <v>300</v>
      </c>
      <c r="B253" s="98" t="s">
        <v>365</v>
      </c>
      <c r="C253" s="98" t="s">
        <v>361</v>
      </c>
      <c r="D253" s="31"/>
      <c r="E253" s="35"/>
    </row>
    <row r="254" spans="1:5" ht="24.95" customHeight="1">
      <c r="A254" s="97" t="s">
        <v>300</v>
      </c>
      <c r="B254" s="98" t="s">
        <v>366</v>
      </c>
      <c r="C254" s="98" t="s">
        <v>361</v>
      </c>
      <c r="D254" s="31"/>
      <c r="E254" s="35"/>
    </row>
    <row r="255" spans="1:5" ht="24.95" customHeight="1">
      <c r="A255" s="97" t="s">
        <v>300</v>
      </c>
      <c r="B255" s="98" t="s">
        <v>367</v>
      </c>
      <c r="C255" s="98" t="s">
        <v>368</v>
      </c>
      <c r="D255" s="31"/>
      <c r="E255" s="35"/>
    </row>
    <row r="256" spans="1:5" ht="24.95" customHeight="1">
      <c r="A256" s="97" t="s">
        <v>300</v>
      </c>
      <c r="B256" s="98" t="s">
        <v>369</v>
      </c>
      <c r="C256" s="98" t="s">
        <v>368</v>
      </c>
      <c r="D256" s="105"/>
      <c r="E256" s="35"/>
    </row>
    <row r="257" spans="1:5" ht="24.95" customHeight="1">
      <c r="A257" s="97" t="s">
        <v>300</v>
      </c>
      <c r="B257" s="98" t="s">
        <v>370</v>
      </c>
      <c r="C257" s="98" t="s">
        <v>368</v>
      </c>
      <c r="D257" s="31"/>
      <c r="E257" s="35"/>
    </row>
    <row r="258" spans="1:5" ht="24.95" customHeight="1">
      <c r="A258" s="97" t="s">
        <v>300</v>
      </c>
      <c r="B258" s="98" t="s">
        <v>371</v>
      </c>
      <c r="C258" s="98" t="s">
        <v>368</v>
      </c>
      <c r="D258" s="31"/>
      <c r="E258" s="35"/>
    </row>
    <row r="259" spans="1:5" ht="24.95" customHeight="1">
      <c r="A259" s="97" t="s">
        <v>300</v>
      </c>
      <c r="B259" s="98" t="s">
        <v>372</v>
      </c>
      <c r="C259" s="98" t="s">
        <v>368</v>
      </c>
      <c r="D259" s="31"/>
      <c r="E259" s="35"/>
    </row>
    <row r="260" spans="1:5" ht="24.95" customHeight="1">
      <c r="A260" s="97" t="s">
        <v>300</v>
      </c>
      <c r="B260" s="98" t="s">
        <v>373</v>
      </c>
      <c r="C260" s="98" t="s">
        <v>368</v>
      </c>
      <c r="D260" s="31"/>
      <c r="E260" s="31"/>
    </row>
    <row r="261" spans="1:5" ht="24.95" customHeight="1">
      <c r="A261" s="97" t="s">
        <v>300</v>
      </c>
      <c r="B261" s="98" t="s">
        <v>374</v>
      </c>
      <c r="C261" s="98" t="s">
        <v>368</v>
      </c>
      <c r="D261" s="31"/>
      <c r="E261" s="35"/>
    </row>
    <row r="262" spans="1:5" ht="24.95" customHeight="1">
      <c r="A262" s="97" t="s">
        <v>300</v>
      </c>
      <c r="B262" s="98" t="s">
        <v>375</v>
      </c>
      <c r="C262" s="98" t="s">
        <v>368</v>
      </c>
      <c r="D262" s="31"/>
      <c r="E262" s="35"/>
    </row>
    <row r="263" spans="1:5" ht="24.95" customHeight="1">
      <c r="A263" s="97" t="s">
        <v>300</v>
      </c>
      <c r="B263" s="98" t="s">
        <v>376</v>
      </c>
      <c r="C263" s="98" t="s">
        <v>377</v>
      </c>
      <c r="D263" s="31"/>
      <c r="E263" s="35"/>
    </row>
    <row r="264" spans="1:5" ht="24.95" customHeight="1">
      <c r="A264" s="97" t="s">
        <v>300</v>
      </c>
      <c r="B264" s="98" t="s">
        <v>378</v>
      </c>
      <c r="C264" s="98" t="s">
        <v>377</v>
      </c>
      <c r="D264" s="31"/>
      <c r="E264" s="35"/>
    </row>
    <row r="265" spans="1:5" ht="24.95" customHeight="1">
      <c r="A265" s="97" t="s">
        <v>300</v>
      </c>
      <c r="B265" s="98" t="s">
        <v>379</v>
      </c>
      <c r="C265" s="98" t="s">
        <v>377</v>
      </c>
      <c r="D265" s="31"/>
      <c r="E265" s="35"/>
    </row>
    <row r="266" spans="1:5" ht="24.95" customHeight="1">
      <c r="A266" s="97" t="s">
        <v>300</v>
      </c>
      <c r="B266" s="98" t="s">
        <v>380</v>
      </c>
      <c r="C266" s="98" t="s">
        <v>377</v>
      </c>
      <c r="D266" s="31"/>
      <c r="E266" s="35"/>
    </row>
    <row r="267" spans="1:5" ht="24.95" customHeight="1">
      <c r="A267" s="97" t="s">
        <v>300</v>
      </c>
      <c r="B267" s="98" t="s">
        <v>381</v>
      </c>
      <c r="C267" s="98" t="s">
        <v>377</v>
      </c>
      <c r="D267" s="31"/>
      <c r="E267" s="35"/>
    </row>
    <row r="268" spans="1:5" ht="24.95" customHeight="1">
      <c r="A268" s="97" t="s">
        <v>300</v>
      </c>
      <c r="B268" s="98" t="s">
        <v>382</v>
      </c>
      <c r="C268" s="98" t="s">
        <v>377</v>
      </c>
      <c r="D268" s="31"/>
      <c r="E268" s="35"/>
    </row>
    <row r="269" spans="1:5" ht="24.95" customHeight="1">
      <c r="A269" s="97" t="s">
        <v>300</v>
      </c>
      <c r="B269" s="98" t="s">
        <v>383</v>
      </c>
      <c r="C269" s="98" t="s">
        <v>377</v>
      </c>
      <c r="D269" s="31"/>
      <c r="E269" s="35"/>
    </row>
    <row r="270" spans="1:5" ht="24.95" customHeight="1">
      <c r="A270" s="97" t="s">
        <v>300</v>
      </c>
      <c r="B270" s="98" t="s">
        <v>384</v>
      </c>
      <c r="C270" s="98" t="s">
        <v>377</v>
      </c>
      <c r="D270" s="31"/>
      <c r="E270" s="35"/>
    </row>
    <row r="271" spans="1:5" ht="24.95" customHeight="1">
      <c r="A271" s="97" t="s">
        <v>300</v>
      </c>
      <c r="B271" s="98" t="s">
        <v>385</v>
      </c>
      <c r="C271" s="98" t="s">
        <v>377</v>
      </c>
      <c r="D271" s="31"/>
      <c r="E271" s="35"/>
    </row>
    <row r="272" spans="1:5" ht="24.95" customHeight="1">
      <c r="A272" s="99" t="s">
        <v>300</v>
      </c>
      <c r="B272" s="100" t="s">
        <v>386</v>
      </c>
      <c r="C272" s="100" t="s">
        <v>377</v>
      </c>
      <c r="D272" s="101"/>
      <c r="E272" s="37"/>
    </row>
    <row r="273" spans="1:5" ht="24.95" customHeight="1">
      <c r="A273" s="106" t="s">
        <v>9</v>
      </c>
      <c r="B273" s="107" t="s">
        <v>391</v>
      </c>
      <c r="C273" s="107" t="s">
        <v>275</v>
      </c>
      <c r="D273" s="34"/>
      <c r="E273" s="35"/>
    </row>
    <row r="274" spans="1:5" ht="24.95" customHeight="1">
      <c r="A274" s="106" t="s">
        <v>9</v>
      </c>
      <c r="B274" s="107" t="s">
        <v>392</v>
      </c>
      <c r="C274" s="107" t="s">
        <v>275</v>
      </c>
      <c r="D274" s="34"/>
      <c r="E274" s="35"/>
    </row>
    <row r="275" spans="1:5" ht="24.95" customHeight="1">
      <c r="A275" s="106" t="s">
        <v>9</v>
      </c>
      <c r="B275" s="107" t="s">
        <v>393</v>
      </c>
      <c r="C275" s="107" t="s">
        <v>275</v>
      </c>
      <c r="D275" s="34"/>
      <c r="E275" s="35"/>
    </row>
    <row r="276" spans="1:5" ht="24.95" customHeight="1">
      <c r="A276" s="108" t="s">
        <v>9</v>
      </c>
      <c r="B276" s="109" t="s">
        <v>394</v>
      </c>
      <c r="C276" s="109" t="s">
        <v>275</v>
      </c>
      <c r="D276" s="36"/>
      <c r="E276" s="37"/>
    </row>
    <row r="277" spans="1:5" ht="24.95" customHeight="1"/>
    <row r="278" spans="1:5" ht="24.95" customHeight="1"/>
    <row r="279" spans="1:5" ht="24.95" customHeight="1"/>
    <row r="280" spans="1:5" ht="24.95" customHeight="1"/>
  </sheetData>
  <sheetProtection sheet="1" formatRows="0" autoFilter="0"/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6" id="{00000000-000E-0000-0200-000005000000}">
            <xm:f>LOWER(D2)=LOWER(HowTo!$B$27)</xm:f>
            <x14:dxf>
              <fill>
                <patternFill>
                  <bgColor rgb="FFC6C6C6"/>
                </patternFill>
              </fill>
            </x14:dxf>
          </x14:cfRule>
          <x14:cfRule type="expression" priority="157" id="{00000000-000E-0000-0200-000006000000}">
            <xm:f>LOWER(D2)=LOWER(HowTo!$B$26)</xm:f>
            <x14:dxf>
              <fill>
                <patternFill>
                  <bgColor rgb="FFEFB0AB"/>
                </patternFill>
              </fill>
            </x14:dxf>
          </x14:cfRule>
          <x14:cfRule type="expression" priority="158" id="{00000000-000E-0000-0200-000007000000}">
            <xm:f>LOWER(D2)=LOWER(HowTo!$B$25)</xm:f>
            <x14:dxf>
              <fill>
                <patternFill>
                  <bgColor rgb="FFFFEBAB"/>
                </patternFill>
              </fill>
            </x14:dxf>
          </x14:cfRule>
          <x14:cfRule type="expression" priority="159" id="{00000000-000E-0000-0200-000009000000}">
            <xm:f>LOWER(D2)=LOWER(HowTo!$B$24)</xm:f>
            <x14:dxf>
              <fill>
                <patternFill>
                  <bgColor rgb="FFCDE09C"/>
                </patternFill>
              </fill>
            </x14:dxf>
          </x14:cfRule>
          <xm:sqref>D2:D1048576</xm:sqref>
        </x14:conditionalFormatting>
        <x14:conditionalFormatting xmlns:xm="http://schemas.microsoft.com/office/excel/2006/main">
          <x14:cfRule type="expression" priority="1" id="{B646540B-1DEA-4388-9E3B-B1DBB146A5D4}">
            <xm:f>LOWER(E260)=LOWER(HowTo!$B$27)</xm:f>
            <x14:dxf>
              <fill>
                <patternFill>
                  <bgColor rgb="FFC6C6C6"/>
                </patternFill>
              </fill>
            </x14:dxf>
          </x14:cfRule>
          <x14:cfRule type="expression" priority="2" id="{851F35AD-8EFA-4232-A4DF-0DFAAAF0F94B}">
            <xm:f>LOWER(E260)=LOWER(HowTo!$B$26)</xm:f>
            <x14:dxf>
              <fill>
                <patternFill>
                  <bgColor rgb="FFEFB0AB"/>
                </patternFill>
              </fill>
            </x14:dxf>
          </x14:cfRule>
          <x14:cfRule type="expression" priority="3" id="{F0FE56B0-E72F-4CAF-B250-4B1EFF28E6CC}">
            <xm:f>LOWER(E260)=LOWER(HowTo!$B$25)</xm:f>
            <x14:dxf>
              <fill>
                <patternFill>
                  <bgColor rgb="FFFFEBAB"/>
                </patternFill>
              </fill>
            </x14:dxf>
          </x14:cfRule>
          <x14:cfRule type="expression" priority="4" id="{3C5EDFF7-A9F6-4B4B-87C6-773546B78E4F}">
            <xm:f>LOWER(E260)=LOWER(HowTo!$B$24)</xm:f>
            <x14:dxf>
              <fill>
                <patternFill>
                  <bgColor rgb="FFCDE09C"/>
                </patternFill>
              </fill>
            </x14:dxf>
          </x14:cfRule>
          <xm:sqref>E260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C5BB2C-5914-4D82-B12B-52B98E4F002E}">
          <x14:formula1>
            <xm:f>HowTo!$B$24:$B$27</xm:f>
          </x14:formula1>
          <xm:sqref>D2:D1048576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F9D4-F895-40A6-AAC6-C7461E22D3C9}">
  <dimension ref="A1:H281"/>
  <sheetViews>
    <sheetView topLeftCell="A2" zoomScaleNormal="100" workbookViewId="0">
      <selection activeCell="C13" sqref="C13"/>
    </sheetView>
  </sheetViews>
  <sheetFormatPr baseColWidth="10" defaultColWidth="11" defaultRowHeight="18.75" customHeight="1"/>
  <cols>
    <col min="1" max="1" width="22" style="1" customWidth="1"/>
    <col min="2" max="2" width="124.875" style="1" customWidth="1"/>
    <col min="3" max="3" width="27.875" style="1" customWidth="1"/>
    <col min="4" max="4" width="16.875" style="1" customWidth="1"/>
    <col min="5" max="5" width="16.625" style="1" customWidth="1"/>
    <col min="6" max="7" width="52.125" style="2" customWidth="1"/>
    <col min="8" max="16384" width="11" style="1"/>
  </cols>
  <sheetData>
    <row r="1" spans="1:8" ht="24.95" customHeight="1">
      <c r="A1" s="28" t="s">
        <v>0</v>
      </c>
      <c r="B1" s="29" t="s">
        <v>1</v>
      </c>
      <c r="C1" s="29" t="s">
        <v>2</v>
      </c>
      <c r="D1" s="29" t="s">
        <v>12</v>
      </c>
      <c r="E1" s="29" t="s">
        <v>14</v>
      </c>
      <c r="F1" s="29" t="s">
        <v>15</v>
      </c>
      <c r="G1" s="30" t="s">
        <v>18</v>
      </c>
    </row>
    <row r="2" spans="1:8" ht="24.95" customHeight="1">
      <c r="A2" s="91" t="s">
        <v>9</v>
      </c>
      <c r="B2" s="92" t="s">
        <v>41</v>
      </c>
      <c r="C2" s="92" t="s">
        <v>267</v>
      </c>
      <c r="D2" s="34" t="str">
        <f>IF('PLAN Stand'!D2&lt;&gt;"",'PLAN Stand'!D2,"")</f>
        <v/>
      </c>
      <c r="E2" s="33"/>
      <c r="F2" s="33"/>
      <c r="G2" s="38"/>
    </row>
    <row r="3" spans="1:8" ht="24.95" customHeight="1">
      <c r="A3" s="91" t="s">
        <v>9</v>
      </c>
      <c r="B3" s="92" t="s">
        <v>49</v>
      </c>
      <c r="C3" s="92" t="s">
        <v>267</v>
      </c>
      <c r="D3" s="34" t="str">
        <f>IF('PLAN Stand'!D3&lt;&gt;"",'PLAN Stand'!D3,"")</f>
        <v/>
      </c>
      <c r="E3" s="33"/>
      <c r="F3" s="33"/>
      <c r="G3" s="38"/>
    </row>
    <row r="4" spans="1:8" ht="24.95" customHeight="1">
      <c r="A4" s="91" t="s">
        <v>9</v>
      </c>
      <c r="B4" s="92" t="s">
        <v>42</v>
      </c>
      <c r="C4" s="92" t="s">
        <v>267</v>
      </c>
      <c r="D4" s="34" t="str">
        <f>IF('PLAN Stand'!D4&lt;&gt;"",'PLAN Stand'!D4,"")</f>
        <v/>
      </c>
      <c r="E4" s="33"/>
      <c r="F4" s="33"/>
      <c r="G4" s="38"/>
    </row>
    <row r="5" spans="1:8" ht="24.95" customHeight="1">
      <c r="A5" s="91" t="s">
        <v>9</v>
      </c>
      <c r="B5" s="92" t="s">
        <v>43</v>
      </c>
      <c r="C5" s="92" t="s">
        <v>267</v>
      </c>
      <c r="D5" s="34" t="str">
        <f>IF('PLAN Stand'!D5&lt;&gt;"",'PLAN Stand'!D5,"")</f>
        <v/>
      </c>
      <c r="E5" s="33"/>
      <c r="F5" s="33"/>
      <c r="G5" s="38"/>
      <c r="H5" s="2"/>
    </row>
    <row r="6" spans="1:8" ht="24.95" customHeight="1">
      <c r="A6" s="91" t="s">
        <v>9</v>
      </c>
      <c r="B6" s="92" t="s">
        <v>44</v>
      </c>
      <c r="C6" s="92" t="s">
        <v>267</v>
      </c>
      <c r="D6" s="34" t="str">
        <f>IF('PLAN Stand'!D6&lt;&gt;"",'PLAN Stand'!D6,"")</f>
        <v/>
      </c>
      <c r="E6" s="33"/>
      <c r="F6" s="33"/>
      <c r="G6" s="38"/>
      <c r="H6" s="2"/>
    </row>
    <row r="7" spans="1:8" ht="24.95" customHeight="1">
      <c r="A7" s="91" t="s">
        <v>9</v>
      </c>
      <c r="B7" s="92" t="s">
        <v>45</v>
      </c>
      <c r="C7" s="92" t="s">
        <v>267</v>
      </c>
      <c r="D7" s="34" t="str">
        <f>IF('PLAN Stand'!D7&lt;&gt;"",'PLAN Stand'!D7,"")</f>
        <v/>
      </c>
      <c r="E7" s="33"/>
      <c r="F7" s="33"/>
      <c r="G7" s="38"/>
    </row>
    <row r="8" spans="1:8" ht="24.95" customHeight="1">
      <c r="A8" s="91" t="s">
        <v>9</v>
      </c>
      <c r="B8" s="92" t="s">
        <v>46</v>
      </c>
      <c r="C8" s="92" t="s">
        <v>267</v>
      </c>
      <c r="D8" s="34" t="str">
        <f>IF('PLAN Stand'!D8&lt;&gt;"",'PLAN Stand'!D8,"")</f>
        <v/>
      </c>
      <c r="E8" s="33"/>
      <c r="F8" s="33"/>
      <c r="G8" s="38"/>
    </row>
    <row r="9" spans="1:8" ht="24.95" customHeight="1">
      <c r="A9" s="91" t="s">
        <v>9</v>
      </c>
      <c r="B9" s="92" t="s">
        <v>47</v>
      </c>
      <c r="C9" s="92" t="s">
        <v>267</v>
      </c>
      <c r="D9" s="34" t="str">
        <f>IF('PLAN Stand'!D9&lt;&gt;"",'PLAN Stand'!D9,"")</f>
        <v/>
      </c>
      <c r="E9" s="33"/>
      <c r="F9" s="33"/>
      <c r="G9" s="38"/>
    </row>
    <row r="10" spans="1:8" ht="24.95" customHeight="1">
      <c r="A10" s="91" t="s">
        <v>9</v>
      </c>
      <c r="B10" s="92" t="s">
        <v>48</v>
      </c>
      <c r="C10" s="92" t="s">
        <v>267</v>
      </c>
      <c r="D10" s="34" t="str">
        <f>IF('PLAN Stand'!D10&lt;&gt;"",'PLAN Stand'!D10,"")</f>
        <v/>
      </c>
      <c r="E10" s="33"/>
      <c r="F10" s="33"/>
      <c r="G10" s="38"/>
    </row>
    <row r="11" spans="1:8" ht="24.95" customHeight="1">
      <c r="A11" s="91" t="s">
        <v>9</v>
      </c>
      <c r="B11" s="92" t="s">
        <v>50</v>
      </c>
      <c r="C11" s="92" t="s">
        <v>268</v>
      </c>
      <c r="D11" s="34" t="str">
        <f>IF('PLAN Stand'!D11&lt;&gt;"",'PLAN Stand'!D11,"")</f>
        <v/>
      </c>
      <c r="E11" s="33"/>
      <c r="F11" s="33"/>
      <c r="G11" s="38"/>
    </row>
    <row r="12" spans="1:8" ht="24.95" customHeight="1">
      <c r="A12" s="91" t="s">
        <v>9</v>
      </c>
      <c r="B12" s="92" t="s">
        <v>51</v>
      </c>
      <c r="C12" s="92" t="s">
        <v>268</v>
      </c>
      <c r="D12" s="34" t="str">
        <f>IF('PLAN Stand'!D12&lt;&gt;"",'PLAN Stand'!D12,"")</f>
        <v/>
      </c>
      <c r="E12" s="33"/>
      <c r="F12" s="33"/>
      <c r="G12" s="38"/>
    </row>
    <row r="13" spans="1:8" ht="24.95" customHeight="1">
      <c r="A13" s="91" t="s">
        <v>9</v>
      </c>
      <c r="B13" s="92" t="s">
        <v>52</v>
      </c>
      <c r="C13" s="92" t="s">
        <v>268</v>
      </c>
      <c r="D13" s="34" t="str">
        <f>IF('PLAN Stand'!D13&lt;&gt;"",'PLAN Stand'!D13,"")</f>
        <v/>
      </c>
      <c r="E13" s="33"/>
      <c r="F13" s="33"/>
      <c r="G13" s="38"/>
    </row>
    <row r="14" spans="1:8" ht="24.95" customHeight="1">
      <c r="A14" s="91" t="s">
        <v>9</v>
      </c>
      <c r="B14" s="92" t="s">
        <v>53</v>
      </c>
      <c r="C14" s="92" t="s">
        <v>268</v>
      </c>
      <c r="D14" s="34" t="str">
        <f>IF('PLAN Stand'!D14&lt;&gt;"",'PLAN Stand'!D14,"")</f>
        <v/>
      </c>
      <c r="E14" s="33"/>
      <c r="F14" s="33"/>
      <c r="G14" s="38"/>
    </row>
    <row r="15" spans="1:8" ht="24.95" customHeight="1">
      <c r="A15" s="91" t="s">
        <v>9</v>
      </c>
      <c r="B15" s="92" t="s">
        <v>54</v>
      </c>
      <c r="C15" s="92" t="s">
        <v>268</v>
      </c>
      <c r="D15" s="34" t="str">
        <f>IF('PLAN Stand'!D15&lt;&gt;"",'PLAN Stand'!D15,"")</f>
        <v/>
      </c>
      <c r="E15" s="33"/>
      <c r="F15" s="33"/>
      <c r="G15" s="38"/>
    </row>
    <row r="16" spans="1:8" ht="24.95" customHeight="1">
      <c r="A16" s="91" t="s">
        <v>9</v>
      </c>
      <c r="B16" s="92" t="s">
        <v>133</v>
      </c>
      <c r="C16" s="92" t="s">
        <v>269</v>
      </c>
      <c r="D16" s="34" t="str">
        <f>IF('PLAN Stand'!D16&lt;&gt;"",'PLAN Stand'!D16,"")</f>
        <v/>
      </c>
      <c r="E16" s="33"/>
      <c r="F16" s="33"/>
      <c r="G16" s="38"/>
    </row>
    <row r="17" spans="1:7" ht="24.95" customHeight="1">
      <c r="A17" s="91" t="s">
        <v>9</v>
      </c>
      <c r="B17" s="92" t="s">
        <v>134</v>
      </c>
      <c r="C17" s="92" t="s">
        <v>269</v>
      </c>
      <c r="D17" s="34" t="str">
        <f>IF('PLAN Stand'!D17&lt;&gt;"",'PLAN Stand'!D17,"")</f>
        <v/>
      </c>
      <c r="E17" s="33"/>
      <c r="F17" s="33"/>
      <c r="G17" s="38"/>
    </row>
    <row r="18" spans="1:7" ht="24.95" customHeight="1">
      <c r="A18" s="91" t="s">
        <v>9</v>
      </c>
      <c r="B18" s="92" t="s">
        <v>55</v>
      </c>
      <c r="C18" s="92" t="s">
        <v>270</v>
      </c>
      <c r="D18" s="34" t="str">
        <f>IF('PLAN Stand'!D18&lt;&gt;"",'PLAN Stand'!D18,"")</f>
        <v/>
      </c>
      <c r="E18" s="33"/>
      <c r="F18" s="33"/>
      <c r="G18" s="38"/>
    </row>
    <row r="19" spans="1:7" ht="24.95" customHeight="1">
      <c r="A19" s="91" t="s">
        <v>9</v>
      </c>
      <c r="B19" s="92" t="s">
        <v>56</v>
      </c>
      <c r="C19" s="92" t="s">
        <v>270</v>
      </c>
      <c r="D19" s="34" t="str">
        <f>IF('PLAN Stand'!D19&lt;&gt;"",'PLAN Stand'!D19,"")</f>
        <v/>
      </c>
      <c r="E19" s="33"/>
      <c r="F19" s="33"/>
      <c r="G19" s="38"/>
    </row>
    <row r="20" spans="1:7" ht="24.95" customHeight="1">
      <c r="A20" s="91" t="s">
        <v>9</v>
      </c>
      <c r="B20" s="92" t="s">
        <v>57</v>
      </c>
      <c r="C20" s="92" t="s">
        <v>270</v>
      </c>
      <c r="D20" s="34" t="str">
        <f>IF('PLAN Stand'!D20&lt;&gt;"",'PLAN Stand'!D20,"")</f>
        <v/>
      </c>
      <c r="E20" s="33"/>
      <c r="F20" s="33"/>
      <c r="G20" s="38"/>
    </row>
    <row r="21" spans="1:7" ht="24.95" customHeight="1">
      <c r="A21" s="91" t="s">
        <v>9</v>
      </c>
      <c r="B21" s="92" t="s">
        <v>58</v>
      </c>
      <c r="C21" s="92" t="s">
        <v>270</v>
      </c>
      <c r="D21" s="34" t="str">
        <f>IF('PLAN Stand'!D21&lt;&gt;"",'PLAN Stand'!D21,"")</f>
        <v/>
      </c>
      <c r="E21" s="33"/>
      <c r="F21" s="33"/>
      <c r="G21" s="38"/>
    </row>
    <row r="22" spans="1:7" ht="24.95" customHeight="1">
      <c r="A22" s="91" t="s">
        <v>9</v>
      </c>
      <c r="B22" s="92" t="s">
        <v>59</v>
      </c>
      <c r="C22" s="92" t="s">
        <v>271</v>
      </c>
      <c r="D22" s="34" t="str">
        <f>IF('PLAN Stand'!D22&lt;&gt;"",'PLAN Stand'!D22,"")</f>
        <v/>
      </c>
      <c r="E22" s="33"/>
      <c r="F22" s="33"/>
      <c r="G22" s="38"/>
    </row>
    <row r="23" spans="1:7" ht="24.95" customHeight="1">
      <c r="A23" s="91" t="s">
        <v>9</v>
      </c>
      <c r="B23" s="92" t="s">
        <v>60</v>
      </c>
      <c r="C23" s="92" t="s">
        <v>271</v>
      </c>
      <c r="D23" s="34" t="str">
        <f>IF('PLAN Stand'!D23&lt;&gt;"",'PLAN Stand'!D23,"")</f>
        <v/>
      </c>
      <c r="E23" s="33"/>
      <c r="F23" s="33"/>
      <c r="G23" s="38"/>
    </row>
    <row r="24" spans="1:7" ht="24.95" customHeight="1">
      <c r="A24" s="91" t="s">
        <v>9</v>
      </c>
      <c r="B24" s="92" t="s">
        <v>61</v>
      </c>
      <c r="C24" s="92" t="s">
        <v>271</v>
      </c>
      <c r="D24" s="34" t="str">
        <f>IF('PLAN Stand'!D24&lt;&gt;"",'PLAN Stand'!D24,"")</f>
        <v/>
      </c>
      <c r="E24" s="33"/>
      <c r="F24" s="33"/>
      <c r="G24" s="38"/>
    </row>
    <row r="25" spans="1:7" ht="24.95" customHeight="1">
      <c r="A25" s="91" t="s">
        <v>9</v>
      </c>
      <c r="B25" s="92" t="s">
        <v>62</v>
      </c>
      <c r="C25" s="92" t="s">
        <v>272</v>
      </c>
      <c r="D25" s="34" t="str">
        <f>IF('PLAN Stand'!D25&lt;&gt;"",'PLAN Stand'!D25,"")</f>
        <v/>
      </c>
      <c r="E25" s="33"/>
      <c r="F25" s="33"/>
      <c r="G25" s="38"/>
    </row>
    <row r="26" spans="1:7" ht="24.95" customHeight="1">
      <c r="A26" s="91" t="s">
        <v>9</v>
      </c>
      <c r="B26" s="92" t="s">
        <v>63</v>
      </c>
      <c r="C26" s="92" t="s">
        <v>272</v>
      </c>
      <c r="D26" s="34" t="str">
        <f>IF('PLAN Stand'!D26&lt;&gt;"",'PLAN Stand'!D26,"")</f>
        <v/>
      </c>
      <c r="E26" s="31"/>
      <c r="F26" s="33"/>
      <c r="G26" s="38"/>
    </row>
    <row r="27" spans="1:7" ht="24.95" customHeight="1">
      <c r="A27" s="91" t="s">
        <v>9</v>
      </c>
      <c r="B27" s="92" t="s">
        <v>64</v>
      </c>
      <c r="C27" s="92" t="s">
        <v>272</v>
      </c>
      <c r="D27" s="34" t="str">
        <f>IF('PLAN Stand'!D27&lt;&gt;"",'PLAN Stand'!D27,"")</f>
        <v/>
      </c>
      <c r="E27" s="33"/>
      <c r="F27" s="33"/>
      <c r="G27" s="38"/>
    </row>
    <row r="28" spans="1:7" ht="24.95" customHeight="1">
      <c r="A28" s="91" t="s">
        <v>9</v>
      </c>
      <c r="B28" s="92" t="s">
        <v>65</v>
      </c>
      <c r="C28" s="92" t="s">
        <v>272</v>
      </c>
      <c r="D28" s="34" t="str">
        <f>IF('PLAN Stand'!D28&lt;&gt;"",'PLAN Stand'!D28,"")</f>
        <v/>
      </c>
      <c r="E28" s="33"/>
      <c r="F28" s="33"/>
      <c r="G28" s="38"/>
    </row>
    <row r="29" spans="1:7" ht="24.95" customHeight="1">
      <c r="A29" s="91" t="s">
        <v>9</v>
      </c>
      <c r="B29" s="92" t="s">
        <v>66</v>
      </c>
      <c r="C29" s="92" t="s">
        <v>272</v>
      </c>
      <c r="D29" s="34" t="str">
        <f>IF('PLAN Stand'!D29&lt;&gt;"",'PLAN Stand'!D29,"")</f>
        <v/>
      </c>
      <c r="E29" s="33"/>
      <c r="F29" s="33"/>
      <c r="G29" s="38"/>
    </row>
    <row r="30" spans="1:7" ht="24.95" customHeight="1">
      <c r="A30" s="91" t="s">
        <v>9</v>
      </c>
      <c r="B30" s="92" t="s">
        <v>67</v>
      </c>
      <c r="C30" s="92" t="s">
        <v>272</v>
      </c>
      <c r="D30" s="34" t="str">
        <f>IF('PLAN Stand'!D30&lt;&gt;"",'PLAN Stand'!D30,"")</f>
        <v/>
      </c>
      <c r="E30" s="31"/>
      <c r="F30" s="33"/>
      <c r="G30" s="38"/>
    </row>
    <row r="31" spans="1:7" ht="24.95" customHeight="1">
      <c r="A31" s="91" t="s">
        <v>9</v>
      </c>
      <c r="B31" s="92" t="s">
        <v>68</v>
      </c>
      <c r="C31" s="92" t="s">
        <v>273</v>
      </c>
      <c r="D31" s="34" t="str">
        <f>IF('PLAN Stand'!D31&lt;&gt;"",'PLAN Stand'!D31,"")</f>
        <v/>
      </c>
      <c r="E31" s="33"/>
      <c r="F31" s="33"/>
      <c r="G31" s="38"/>
    </row>
    <row r="32" spans="1:7" ht="24.95" customHeight="1">
      <c r="A32" s="91" t="s">
        <v>9</v>
      </c>
      <c r="B32" s="92" t="s">
        <v>69</v>
      </c>
      <c r="C32" s="92" t="s">
        <v>273</v>
      </c>
      <c r="D32" s="34" t="str">
        <f>IF('PLAN Stand'!D32&lt;&gt;"",'PLAN Stand'!D32,"")</f>
        <v/>
      </c>
      <c r="E32" s="33"/>
      <c r="F32" s="33"/>
      <c r="G32" s="38"/>
    </row>
    <row r="33" spans="1:7" ht="24.95" customHeight="1">
      <c r="A33" s="91" t="s">
        <v>9</v>
      </c>
      <c r="B33" s="92" t="s">
        <v>70</v>
      </c>
      <c r="C33" s="92" t="s">
        <v>273</v>
      </c>
      <c r="D33" s="34" t="str">
        <f>IF('PLAN Stand'!D33&lt;&gt;"",'PLAN Stand'!D33,"")</f>
        <v/>
      </c>
      <c r="E33" s="33"/>
      <c r="F33" s="33"/>
      <c r="G33" s="38"/>
    </row>
    <row r="34" spans="1:7" ht="24.95" customHeight="1">
      <c r="A34" s="91" t="s">
        <v>9</v>
      </c>
      <c r="B34" s="92" t="s">
        <v>71</v>
      </c>
      <c r="C34" s="92" t="s">
        <v>273</v>
      </c>
      <c r="D34" s="34" t="str">
        <f>IF('PLAN Stand'!D34&lt;&gt;"",'PLAN Stand'!D34,"")</f>
        <v/>
      </c>
      <c r="E34" s="31"/>
      <c r="F34" s="33"/>
      <c r="G34" s="38"/>
    </row>
    <row r="35" spans="1:7" ht="24.95" customHeight="1">
      <c r="A35" s="91" t="s">
        <v>9</v>
      </c>
      <c r="B35" s="92" t="s">
        <v>72</v>
      </c>
      <c r="C35" s="92" t="s">
        <v>273</v>
      </c>
      <c r="D35" s="34" t="str">
        <f>IF('PLAN Stand'!D35&lt;&gt;"",'PLAN Stand'!D35,"")</f>
        <v/>
      </c>
      <c r="E35" s="33"/>
      <c r="F35" s="33"/>
      <c r="G35" s="38"/>
    </row>
    <row r="36" spans="1:7" ht="24.95" customHeight="1">
      <c r="A36" s="91" t="s">
        <v>9</v>
      </c>
      <c r="B36" s="92" t="s">
        <v>73</v>
      </c>
      <c r="C36" s="92" t="s">
        <v>273</v>
      </c>
      <c r="D36" s="34" t="str">
        <f>IF('PLAN Stand'!D36&lt;&gt;"",'PLAN Stand'!D36,"")</f>
        <v/>
      </c>
      <c r="E36" s="33"/>
      <c r="F36" s="33"/>
      <c r="G36" s="38"/>
    </row>
    <row r="37" spans="1:7" ht="24.95" customHeight="1">
      <c r="A37" s="91" t="s">
        <v>9</v>
      </c>
      <c r="B37" s="92" t="s">
        <v>74</v>
      </c>
      <c r="C37" s="92" t="s">
        <v>274</v>
      </c>
      <c r="D37" s="34" t="str">
        <f>IF('PLAN Stand'!D37&lt;&gt;"",'PLAN Stand'!D37,"")</f>
        <v/>
      </c>
      <c r="E37" s="33"/>
      <c r="F37" s="39"/>
      <c r="G37" s="35"/>
    </row>
    <row r="38" spans="1:7" ht="24.95" customHeight="1">
      <c r="A38" s="91" t="s">
        <v>9</v>
      </c>
      <c r="B38" s="92" t="s">
        <v>75</v>
      </c>
      <c r="C38" s="92" t="s">
        <v>274</v>
      </c>
      <c r="D38" s="34" t="str">
        <f>IF('PLAN Stand'!D38&lt;&gt;"",'PLAN Stand'!D38,"")</f>
        <v/>
      </c>
      <c r="E38" s="31"/>
      <c r="F38" s="39"/>
      <c r="G38" s="35"/>
    </row>
    <row r="39" spans="1:7" ht="24.95" customHeight="1">
      <c r="A39" s="91" t="s">
        <v>9</v>
      </c>
      <c r="B39" s="92" t="s">
        <v>76</v>
      </c>
      <c r="C39" s="92" t="s">
        <v>274</v>
      </c>
      <c r="D39" s="34" t="str">
        <f>IF('PLAN Stand'!D39&lt;&gt;"",'PLAN Stand'!D39,"")</f>
        <v/>
      </c>
      <c r="E39" s="33"/>
      <c r="F39" s="39"/>
      <c r="G39" s="35"/>
    </row>
    <row r="40" spans="1:7" ht="24.95" customHeight="1">
      <c r="A40" s="91" t="s">
        <v>9</v>
      </c>
      <c r="B40" s="92" t="s">
        <v>77</v>
      </c>
      <c r="C40" s="92" t="s">
        <v>274</v>
      </c>
      <c r="D40" s="34" t="str">
        <f>IF('PLAN Stand'!D40&lt;&gt;"",'PLAN Stand'!D40,"")</f>
        <v/>
      </c>
      <c r="E40" s="33"/>
      <c r="F40" s="39"/>
      <c r="G40" s="35"/>
    </row>
    <row r="41" spans="1:7" ht="24.95" customHeight="1">
      <c r="A41" s="91" t="s">
        <v>9</v>
      </c>
      <c r="B41" s="92" t="s">
        <v>78</v>
      </c>
      <c r="C41" s="92" t="s">
        <v>274</v>
      </c>
      <c r="D41" s="34" t="str">
        <f>IF('PLAN Stand'!D41&lt;&gt;"",'PLAN Stand'!D41,"")</f>
        <v/>
      </c>
      <c r="E41" s="33"/>
      <c r="F41" s="39"/>
      <c r="G41" s="35"/>
    </row>
    <row r="42" spans="1:7" ht="24.95" customHeight="1">
      <c r="A42" s="91" t="s">
        <v>9</v>
      </c>
      <c r="B42" s="92" t="s">
        <v>79</v>
      </c>
      <c r="C42" s="92" t="s">
        <v>274</v>
      </c>
      <c r="D42" s="34" t="str">
        <f>IF('PLAN Stand'!D42&lt;&gt;"",'PLAN Stand'!D42,"")</f>
        <v/>
      </c>
      <c r="E42" s="31"/>
      <c r="F42" s="39"/>
      <c r="G42" s="35"/>
    </row>
    <row r="43" spans="1:7" ht="24.95" customHeight="1">
      <c r="A43" s="91" t="s">
        <v>9</v>
      </c>
      <c r="B43" s="92" t="s">
        <v>80</v>
      </c>
      <c r="C43" s="92" t="s">
        <v>274</v>
      </c>
      <c r="D43" s="34" t="str">
        <f>IF('PLAN Stand'!D43&lt;&gt;"",'PLAN Stand'!D43,"")</f>
        <v/>
      </c>
      <c r="E43" s="33"/>
      <c r="F43" s="39"/>
      <c r="G43" s="35"/>
    </row>
    <row r="44" spans="1:7" ht="24.95" customHeight="1">
      <c r="A44" s="91" t="s">
        <v>9</v>
      </c>
      <c r="B44" s="92" t="s">
        <v>81</v>
      </c>
      <c r="C44" s="92" t="s">
        <v>274</v>
      </c>
      <c r="D44" s="34" t="str">
        <f>IF('PLAN Stand'!D44&lt;&gt;"",'PLAN Stand'!D44,"")</f>
        <v/>
      </c>
      <c r="E44" s="33"/>
      <c r="F44" s="39"/>
      <c r="G44" s="35"/>
    </row>
    <row r="45" spans="1:7" ht="24.95" customHeight="1">
      <c r="A45" s="91" t="s">
        <v>9</v>
      </c>
      <c r="B45" s="92" t="s">
        <v>82</v>
      </c>
      <c r="C45" s="92" t="s">
        <v>274</v>
      </c>
      <c r="D45" s="34" t="str">
        <f>IF('PLAN Stand'!D45&lt;&gt;"",'PLAN Stand'!D45,"")</f>
        <v/>
      </c>
      <c r="E45" s="33"/>
      <c r="F45" s="39"/>
      <c r="G45" s="35"/>
    </row>
    <row r="46" spans="1:7" ht="24.95" customHeight="1">
      <c r="A46" s="91" t="s">
        <v>9</v>
      </c>
      <c r="B46" s="92" t="s">
        <v>83</v>
      </c>
      <c r="C46" s="92" t="s">
        <v>274</v>
      </c>
      <c r="D46" s="34" t="str">
        <f>IF('PLAN Stand'!D46&lt;&gt;"",'PLAN Stand'!D46,"")</f>
        <v/>
      </c>
      <c r="E46" s="31"/>
      <c r="F46" s="39"/>
      <c r="G46" s="35"/>
    </row>
    <row r="47" spans="1:7" ht="24.95" customHeight="1">
      <c r="A47" s="91" t="s">
        <v>9</v>
      </c>
      <c r="B47" s="92" t="s">
        <v>84</v>
      </c>
      <c r="C47" s="92" t="s">
        <v>274</v>
      </c>
      <c r="D47" s="34" t="str">
        <f>IF('PLAN Stand'!D47&lt;&gt;"",'PLAN Stand'!D47,"")</f>
        <v/>
      </c>
      <c r="E47" s="33"/>
      <c r="F47" s="39"/>
      <c r="G47" s="35"/>
    </row>
    <row r="48" spans="1:7" ht="24.95" customHeight="1">
      <c r="A48" s="91" t="s">
        <v>9</v>
      </c>
      <c r="B48" s="92" t="s">
        <v>85</v>
      </c>
      <c r="C48" s="92" t="s">
        <v>275</v>
      </c>
      <c r="D48" s="34" t="str">
        <f>IF('PLAN Stand'!D48&lt;&gt;"",'PLAN Stand'!D48,"")</f>
        <v/>
      </c>
      <c r="E48" s="33"/>
      <c r="F48" s="39"/>
      <c r="G48" s="35"/>
    </row>
    <row r="49" spans="1:7" ht="24.95" customHeight="1">
      <c r="A49" s="91" t="s">
        <v>9</v>
      </c>
      <c r="B49" s="92" t="s">
        <v>86</v>
      </c>
      <c r="C49" s="92" t="s">
        <v>275</v>
      </c>
      <c r="D49" s="34" t="str">
        <f>IF('PLAN Stand'!D49&lt;&gt;"",'PLAN Stand'!D49,"")</f>
        <v/>
      </c>
      <c r="E49" s="33"/>
      <c r="F49" s="39"/>
      <c r="G49" s="35"/>
    </row>
    <row r="50" spans="1:7" ht="24.95" customHeight="1">
      <c r="A50" s="91" t="s">
        <v>9</v>
      </c>
      <c r="B50" s="92" t="s">
        <v>87</v>
      </c>
      <c r="C50" s="92" t="s">
        <v>275</v>
      </c>
      <c r="D50" s="34" t="str">
        <f>IF('PLAN Stand'!D50&lt;&gt;"",'PLAN Stand'!D50,"")</f>
        <v/>
      </c>
      <c r="E50" s="31"/>
      <c r="F50" s="39"/>
      <c r="G50" s="35"/>
    </row>
    <row r="51" spans="1:7" ht="24.95" customHeight="1">
      <c r="A51" s="91" t="s">
        <v>9</v>
      </c>
      <c r="B51" s="92" t="s">
        <v>88</v>
      </c>
      <c r="C51" s="92" t="s">
        <v>275</v>
      </c>
      <c r="D51" s="34" t="str">
        <f>IF('PLAN Stand'!D51&lt;&gt;"",'PLAN Stand'!D51,"")</f>
        <v/>
      </c>
      <c r="E51" s="33"/>
      <c r="F51" s="39"/>
      <c r="G51" s="35"/>
    </row>
    <row r="52" spans="1:7" ht="24.95" customHeight="1">
      <c r="A52" s="91" t="s">
        <v>9</v>
      </c>
      <c r="B52" s="92" t="s">
        <v>89</v>
      </c>
      <c r="C52" s="92" t="s">
        <v>276</v>
      </c>
      <c r="D52" s="34" t="str">
        <f>IF('PLAN Stand'!D52&lt;&gt;"",'PLAN Stand'!D52,"")</f>
        <v/>
      </c>
      <c r="E52" s="33"/>
      <c r="F52" s="39"/>
      <c r="G52" s="35"/>
    </row>
    <row r="53" spans="1:7" ht="24.95" customHeight="1">
      <c r="A53" s="91" t="s">
        <v>9</v>
      </c>
      <c r="B53" s="92" t="s">
        <v>90</v>
      </c>
      <c r="C53" s="92" t="s">
        <v>276</v>
      </c>
      <c r="D53" s="34" t="str">
        <f>IF('PLAN Stand'!D53&lt;&gt;"",'PLAN Stand'!D53,"")</f>
        <v/>
      </c>
      <c r="E53" s="33"/>
      <c r="F53" s="39"/>
      <c r="G53" s="35"/>
    </row>
    <row r="54" spans="1:7" ht="24.95" customHeight="1">
      <c r="A54" s="91" t="s">
        <v>9</v>
      </c>
      <c r="B54" s="92" t="s">
        <v>91</v>
      </c>
      <c r="C54" s="92" t="s">
        <v>276</v>
      </c>
      <c r="D54" s="34" t="str">
        <f>IF('PLAN Stand'!D54&lt;&gt;"",'PLAN Stand'!D54,"")</f>
        <v/>
      </c>
      <c r="E54" s="31"/>
      <c r="F54" s="39"/>
      <c r="G54" s="35"/>
    </row>
    <row r="55" spans="1:7" ht="24.95" customHeight="1">
      <c r="A55" s="91" t="s">
        <v>9</v>
      </c>
      <c r="B55" s="92" t="s">
        <v>92</v>
      </c>
      <c r="C55" s="92" t="s">
        <v>276</v>
      </c>
      <c r="D55" s="34" t="str">
        <f>IF('PLAN Stand'!D55&lt;&gt;"",'PLAN Stand'!D55,"")</f>
        <v/>
      </c>
      <c r="E55" s="33"/>
      <c r="F55" s="39"/>
      <c r="G55" s="35"/>
    </row>
    <row r="56" spans="1:7" ht="24.95" customHeight="1">
      <c r="A56" s="91" t="s">
        <v>9</v>
      </c>
      <c r="B56" s="92" t="s">
        <v>93</v>
      </c>
      <c r="C56" s="92" t="s">
        <v>276</v>
      </c>
      <c r="D56" s="34" t="str">
        <f>IF('PLAN Stand'!D56&lt;&gt;"",'PLAN Stand'!D56,"")</f>
        <v/>
      </c>
      <c r="E56" s="33"/>
      <c r="F56" s="39"/>
      <c r="G56" s="35"/>
    </row>
    <row r="57" spans="1:7" ht="24.95" customHeight="1">
      <c r="A57" s="91" t="s">
        <v>9</v>
      </c>
      <c r="B57" s="92" t="s">
        <v>94</v>
      </c>
      <c r="C57" s="92" t="s">
        <v>276</v>
      </c>
      <c r="D57" s="34" t="str">
        <f>IF('PLAN Stand'!D57&lt;&gt;"",'PLAN Stand'!D57,"")</f>
        <v/>
      </c>
      <c r="E57" s="33"/>
      <c r="F57" s="39"/>
      <c r="G57" s="35"/>
    </row>
    <row r="58" spans="1:7" ht="24.95" customHeight="1">
      <c r="A58" s="91" t="s">
        <v>9</v>
      </c>
      <c r="B58" s="92" t="s">
        <v>95</v>
      </c>
      <c r="C58" s="92" t="s">
        <v>276</v>
      </c>
      <c r="D58" s="34" t="str">
        <f>IF('PLAN Stand'!D58&lt;&gt;"",'PLAN Stand'!D58,"")</f>
        <v/>
      </c>
      <c r="E58" s="31"/>
      <c r="F58" s="39"/>
      <c r="G58" s="35"/>
    </row>
    <row r="59" spans="1:7" ht="24.95" customHeight="1">
      <c r="A59" s="91" t="s">
        <v>9</v>
      </c>
      <c r="B59" s="92" t="s">
        <v>96</v>
      </c>
      <c r="C59" s="92" t="s">
        <v>277</v>
      </c>
      <c r="D59" s="34" t="str">
        <f>IF('PLAN Stand'!D59&lt;&gt;"",'PLAN Stand'!D59,"")</f>
        <v/>
      </c>
      <c r="E59" s="33"/>
      <c r="F59" s="39"/>
      <c r="G59" s="35"/>
    </row>
    <row r="60" spans="1:7" ht="24.95" customHeight="1">
      <c r="A60" s="91" t="s">
        <v>9</v>
      </c>
      <c r="B60" s="92" t="s">
        <v>97</v>
      </c>
      <c r="C60" s="92" t="s">
        <v>277</v>
      </c>
      <c r="D60" s="34" t="str">
        <f>IF('PLAN Stand'!D60&lt;&gt;"",'PLAN Stand'!D60,"")</f>
        <v/>
      </c>
      <c r="E60" s="33"/>
      <c r="F60" s="39"/>
      <c r="G60" s="35"/>
    </row>
    <row r="61" spans="1:7" ht="24.95" customHeight="1">
      <c r="A61" s="91" t="s">
        <v>9</v>
      </c>
      <c r="B61" s="92" t="s">
        <v>98</v>
      </c>
      <c r="C61" s="92" t="s">
        <v>277</v>
      </c>
      <c r="D61" s="34" t="str">
        <f>IF('PLAN Stand'!D61&lt;&gt;"",'PLAN Stand'!D61,"")</f>
        <v/>
      </c>
      <c r="E61" s="33"/>
      <c r="F61" s="39"/>
      <c r="G61" s="35"/>
    </row>
    <row r="62" spans="1:7" ht="24.95" customHeight="1">
      <c r="A62" s="91" t="s">
        <v>9</v>
      </c>
      <c r="B62" s="92" t="s">
        <v>99</v>
      </c>
      <c r="C62" s="92" t="s">
        <v>278</v>
      </c>
      <c r="D62" s="34" t="str">
        <f>IF('PLAN Stand'!D62&lt;&gt;"",'PLAN Stand'!D62,"")</f>
        <v/>
      </c>
      <c r="E62" s="31"/>
      <c r="F62" s="39"/>
      <c r="G62" s="35"/>
    </row>
    <row r="63" spans="1:7" ht="24.95" customHeight="1">
      <c r="A63" s="91" t="s">
        <v>9</v>
      </c>
      <c r="B63" s="92" t="s">
        <v>100</v>
      </c>
      <c r="C63" s="92" t="s">
        <v>278</v>
      </c>
      <c r="D63" s="34" t="str">
        <f>IF('PLAN Stand'!D63&lt;&gt;"",'PLAN Stand'!D63,"")</f>
        <v/>
      </c>
      <c r="E63" s="33"/>
      <c r="F63" s="39"/>
      <c r="G63" s="35"/>
    </row>
    <row r="64" spans="1:7" ht="24.95" customHeight="1">
      <c r="A64" s="91" t="s">
        <v>9</v>
      </c>
      <c r="B64" s="92" t="s">
        <v>101</v>
      </c>
      <c r="C64" s="92" t="s">
        <v>278</v>
      </c>
      <c r="D64" s="34" t="str">
        <f>IF('PLAN Stand'!D64&lt;&gt;"",'PLAN Stand'!D64,"")</f>
        <v/>
      </c>
      <c r="E64" s="33"/>
      <c r="F64" s="39"/>
      <c r="G64" s="35"/>
    </row>
    <row r="65" spans="1:7" ht="24.95" customHeight="1">
      <c r="A65" s="91" t="s">
        <v>9</v>
      </c>
      <c r="B65" s="92" t="s">
        <v>102</v>
      </c>
      <c r="C65" s="92" t="s">
        <v>278</v>
      </c>
      <c r="D65" s="34" t="str">
        <f>IF('PLAN Stand'!D65&lt;&gt;"",'PLAN Stand'!D65,"")</f>
        <v/>
      </c>
      <c r="E65" s="33"/>
      <c r="F65" s="39"/>
      <c r="G65" s="35"/>
    </row>
    <row r="66" spans="1:7" ht="24.95" customHeight="1">
      <c r="A66" s="91" t="s">
        <v>9</v>
      </c>
      <c r="B66" s="92" t="s">
        <v>103</v>
      </c>
      <c r="C66" s="92" t="s">
        <v>278</v>
      </c>
      <c r="D66" s="34" t="str">
        <f>IF('PLAN Stand'!D66&lt;&gt;"",'PLAN Stand'!D66,"")</f>
        <v/>
      </c>
      <c r="E66" s="31"/>
      <c r="F66" s="39"/>
      <c r="G66" s="35"/>
    </row>
    <row r="67" spans="1:7" ht="24.95" customHeight="1">
      <c r="A67" s="91" t="s">
        <v>9</v>
      </c>
      <c r="B67" s="92" t="s">
        <v>104</v>
      </c>
      <c r="C67" s="92" t="s">
        <v>278</v>
      </c>
      <c r="D67" s="34" t="str">
        <f>IF('PLAN Stand'!D67&lt;&gt;"",'PLAN Stand'!D67,"")</f>
        <v/>
      </c>
      <c r="E67" s="33"/>
      <c r="F67" s="39"/>
      <c r="G67" s="35"/>
    </row>
    <row r="68" spans="1:7" ht="24.95" customHeight="1">
      <c r="A68" s="91" t="s">
        <v>9</v>
      </c>
      <c r="B68" s="92" t="s">
        <v>105</v>
      </c>
      <c r="C68" s="92" t="s">
        <v>278</v>
      </c>
      <c r="D68" s="34" t="str">
        <f>IF('PLAN Stand'!D68&lt;&gt;"",'PLAN Stand'!D68,"")</f>
        <v/>
      </c>
      <c r="E68" s="31"/>
      <c r="F68" s="39"/>
      <c r="G68" s="35"/>
    </row>
    <row r="69" spans="1:7" ht="24.95" customHeight="1">
      <c r="A69" s="91" t="s">
        <v>9</v>
      </c>
      <c r="B69" s="92" t="s">
        <v>106</v>
      </c>
      <c r="C69" s="92" t="s">
        <v>279</v>
      </c>
      <c r="D69" s="34" t="str">
        <f>IF('PLAN Stand'!D69&lt;&gt;"",'PLAN Stand'!D69,"")</f>
        <v/>
      </c>
      <c r="E69" s="33"/>
      <c r="F69" s="39"/>
      <c r="G69" s="35"/>
    </row>
    <row r="70" spans="1:7" ht="24.95" customHeight="1">
      <c r="A70" s="91" t="s">
        <v>9</v>
      </c>
      <c r="B70" s="92" t="s">
        <v>107</v>
      </c>
      <c r="C70" s="92" t="s">
        <v>279</v>
      </c>
      <c r="D70" s="34" t="str">
        <f>IF('PLAN Stand'!D70&lt;&gt;"",'PLAN Stand'!D70,"")</f>
        <v/>
      </c>
      <c r="E70" s="31"/>
      <c r="F70" s="39"/>
      <c r="G70" s="35"/>
    </row>
    <row r="71" spans="1:7" ht="24.95" customHeight="1">
      <c r="A71" s="91" t="s">
        <v>9</v>
      </c>
      <c r="B71" s="92" t="s">
        <v>108</v>
      </c>
      <c r="C71" s="92" t="s">
        <v>279</v>
      </c>
      <c r="D71" s="34" t="str">
        <f>IF('PLAN Stand'!D71&lt;&gt;"",'PLAN Stand'!D71,"")</f>
        <v/>
      </c>
      <c r="E71" s="33"/>
      <c r="F71" s="39"/>
      <c r="G71" s="35"/>
    </row>
    <row r="72" spans="1:7" ht="24.95" customHeight="1">
      <c r="A72" s="91" t="s">
        <v>9</v>
      </c>
      <c r="B72" s="92" t="s">
        <v>109</v>
      </c>
      <c r="C72" s="92" t="s">
        <v>279</v>
      </c>
      <c r="D72" s="34" t="str">
        <f>IF('PLAN Stand'!D72&lt;&gt;"",'PLAN Stand'!D72,"")</f>
        <v/>
      </c>
      <c r="E72" s="31"/>
      <c r="F72" s="39"/>
      <c r="G72" s="35"/>
    </row>
    <row r="73" spans="1:7" ht="24.95" customHeight="1">
      <c r="A73" s="91" t="s">
        <v>9</v>
      </c>
      <c r="B73" s="92" t="s">
        <v>110</v>
      </c>
      <c r="C73" s="92" t="s">
        <v>279</v>
      </c>
      <c r="D73" s="34" t="str">
        <f>IF('PLAN Stand'!D73&lt;&gt;"",'PLAN Stand'!D73,"")</f>
        <v/>
      </c>
      <c r="E73" s="33"/>
      <c r="F73" s="39"/>
      <c r="G73" s="35"/>
    </row>
    <row r="74" spans="1:7" ht="24.95" customHeight="1">
      <c r="A74" s="91" t="s">
        <v>9</v>
      </c>
      <c r="B74" s="92" t="s">
        <v>111</v>
      </c>
      <c r="C74" s="92" t="s">
        <v>280</v>
      </c>
      <c r="D74" s="34" t="str">
        <f>IF('PLAN Stand'!D74&lt;&gt;"",'PLAN Stand'!D74,"")</f>
        <v/>
      </c>
      <c r="E74" s="31"/>
      <c r="F74" s="39"/>
      <c r="G74" s="35"/>
    </row>
    <row r="75" spans="1:7" ht="24.95" customHeight="1">
      <c r="A75" s="91" t="s">
        <v>9</v>
      </c>
      <c r="B75" s="92" t="s">
        <v>112</v>
      </c>
      <c r="C75" s="92" t="s">
        <v>280</v>
      </c>
      <c r="D75" s="34" t="str">
        <f>IF('PLAN Stand'!D75&lt;&gt;"",'PLAN Stand'!D75,"")</f>
        <v/>
      </c>
      <c r="E75" s="33"/>
      <c r="F75" s="39"/>
      <c r="G75" s="35"/>
    </row>
    <row r="76" spans="1:7" ht="24.95" customHeight="1">
      <c r="A76" s="91" t="s">
        <v>9</v>
      </c>
      <c r="B76" s="92" t="s">
        <v>113</v>
      </c>
      <c r="C76" s="92" t="s">
        <v>280</v>
      </c>
      <c r="D76" s="34" t="str">
        <f>IF('PLAN Stand'!D76&lt;&gt;"",'PLAN Stand'!D76,"")</f>
        <v/>
      </c>
      <c r="E76" s="31"/>
      <c r="F76" s="39"/>
      <c r="G76" s="35"/>
    </row>
    <row r="77" spans="1:7" ht="24.95" customHeight="1">
      <c r="A77" s="91" t="s">
        <v>9</v>
      </c>
      <c r="B77" s="92" t="s">
        <v>114</v>
      </c>
      <c r="C77" s="92" t="s">
        <v>280</v>
      </c>
      <c r="D77" s="34" t="str">
        <f>IF('PLAN Stand'!D77&lt;&gt;"",'PLAN Stand'!D77,"")</f>
        <v/>
      </c>
      <c r="E77" s="33"/>
      <c r="F77" s="39"/>
      <c r="G77" s="35"/>
    </row>
    <row r="78" spans="1:7" ht="24.95" customHeight="1">
      <c r="A78" s="91" t="s">
        <v>9</v>
      </c>
      <c r="B78" s="92" t="s">
        <v>115</v>
      </c>
      <c r="C78" s="92" t="s">
        <v>280</v>
      </c>
      <c r="D78" s="34" t="str">
        <f>IF('PLAN Stand'!D78&lt;&gt;"",'PLAN Stand'!D78,"")</f>
        <v/>
      </c>
      <c r="E78" s="31"/>
      <c r="F78" s="39"/>
      <c r="G78" s="35"/>
    </row>
    <row r="79" spans="1:7" ht="24.95" customHeight="1">
      <c r="A79" s="91" t="s">
        <v>9</v>
      </c>
      <c r="B79" s="92" t="s">
        <v>116</v>
      </c>
      <c r="C79" s="92" t="s">
        <v>280</v>
      </c>
      <c r="D79" s="34" t="str">
        <f>IF('PLAN Stand'!D79&lt;&gt;"",'PLAN Stand'!D79,"")</f>
        <v/>
      </c>
      <c r="E79" s="33"/>
      <c r="F79" s="39"/>
      <c r="G79" s="35"/>
    </row>
    <row r="80" spans="1:7" ht="24.95" customHeight="1">
      <c r="A80" s="91" t="s">
        <v>9</v>
      </c>
      <c r="B80" s="92" t="s">
        <v>117</v>
      </c>
      <c r="C80" s="92" t="s">
        <v>280</v>
      </c>
      <c r="D80" s="34" t="str">
        <f>IF('PLAN Stand'!D80&lt;&gt;"",'PLAN Stand'!D80,"")</f>
        <v/>
      </c>
      <c r="E80" s="31"/>
      <c r="F80" s="39"/>
      <c r="G80" s="35"/>
    </row>
    <row r="81" spans="1:7" ht="24.95" customHeight="1">
      <c r="A81" s="91" t="s">
        <v>9</v>
      </c>
      <c r="B81" s="92" t="s">
        <v>118</v>
      </c>
      <c r="C81" s="92" t="s">
        <v>281</v>
      </c>
      <c r="D81" s="34" t="str">
        <f>IF('PLAN Stand'!D81&lt;&gt;"",'PLAN Stand'!D81,"")</f>
        <v/>
      </c>
      <c r="E81" s="33"/>
      <c r="F81" s="39"/>
      <c r="G81" s="35"/>
    </row>
    <row r="82" spans="1:7" ht="24.95" customHeight="1">
      <c r="A82" s="91" t="s">
        <v>9</v>
      </c>
      <c r="B82" s="92" t="s">
        <v>119</v>
      </c>
      <c r="C82" s="92" t="s">
        <v>281</v>
      </c>
      <c r="D82" s="34" t="str">
        <f>IF('PLAN Stand'!D82&lt;&gt;"",'PLAN Stand'!D82,"")</f>
        <v/>
      </c>
      <c r="E82" s="31"/>
      <c r="F82" s="39"/>
      <c r="G82" s="35"/>
    </row>
    <row r="83" spans="1:7" ht="24.95" customHeight="1">
      <c r="A83" s="91" t="s">
        <v>9</v>
      </c>
      <c r="B83" s="92" t="s">
        <v>120</v>
      </c>
      <c r="C83" s="92" t="s">
        <v>281</v>
      </c>
      <c r="D83" s="34" t="str">
        <f>IF('PLAN Stand'!D83&lt;&gt;"",'PLAN Stand'!D83,"")</f>
        <v/>
      </c>
      <c r="E83" s="33"/>
      <c r="F83" s="39"/>
      <c r="G83" s="35"/>
    </row>
    <row r="84" spans="1:7" ht="24.95" customHeight="1">
      <c r="A84" s="91" t="s">
        <v>9</v>
      </c>
      <c r="B84" s="92" t="s">
        <v>121</v>
      </c>
      <c r="C84" s="92" t="s">
        <v>282</v>
      </c>
      <c r="D84" s="34" t="str">
        <f>IF('PLAN Stand'!D84&lt;&gt;"",'PLAN Stand'!D84,"")</f>
        <v/>
      </c>
      <c r="E84" s="31"/>
      <c r="F84" s="39"/>
      <c r="G84" s="35"/>
    </row>
    <row r="85" spans="1:7" ht="24.95" customHeight="1">
      <c r="A85" s="91" t="s">
        <v>9</v>
      </c>
      <c r="B85" s="92" t="s">
        <v>122</v>
      </c>
      <c r="C85" s="92" t="s">
        <v>282</v>
      </c>
      <c r="D85" s="34" t="str">
        <f>IF('PLAN Stand'!D85&lt;&gt;"",'PLAN Stand'!D85,"")</f>
        <v/>
      </c>
      <c r="E85" s="33"/>
      <c r="F85" s="39"/>
      <c r="G85" s="35"/>
    </row>
    <row r="86" spans="1:7" ht="24.95" customHeight="1">
      <c r="A86" s="91" t="s">
        <v>9</v>
      </c>
      <c r="B86" s="92" t="s">
        <v>123</v>
      </c>
      <c r="C86" s="92" t="s">
        <v>282</v>
      </c>
      <c r="D86" s="34" t="str">
        <f>IF('PLAN Stand'!D86&lt;&gt;"",'PLAN Stand'!D86,"")</f>
        <v/>
      </c>
      <c r="E86" s="33"/>
      <c r="F86" s="39"/>
      <c r="G86" s="35"/>
    </row>
    <row r="87" spans="1:7" ht="24.95" customHeight="1">
      <c r="A87" s="91" t="s">
        <v>9</v>
      </c>
      <c r="B87" s="92" t="s">
        <v>124</v>
      </c>
      <c r="C87" s="92" t="s">
        <v>283</v>
      </c>
      <c r="D87" s="34" t="str">
        <f>IF('PLAN Stand'!D87&lt;&gt;"",'PLAN Stand'!D87,"")</f>
        <v/>
      </c>
      <c r="E87" s="31"/>
      <c r="F87" s="39"/>
      <c r="G87" s="35"/>
    </row>
    <row r="88" spans="1:7" ht="24.95" customHeight="1">
      <c r="A88" s="91" t="s">
        <v>9</v>
      </c>
      <c r="B88" s="92" t="s">
        <v>125</v>
      </c>
      <c r="C88" s="92" t="s">
        <v>283</v>
      </c>
      <c r="D88" s="34" t="str">
        <f>IF('PLAN Stand'!D88&lt;&gt;"",'PLAN Stand'!D88,"")</f>
        <v/>
      </c>
      <c r="E88" s="33"/>
      <c r="F88" s="39"/>
      <c r="G88" s="35"/>
    </row>
    <row r="89" spans="1:7" ht="24.95" customHeight="1">
      <c r="A89" s="91" t="s">
        <v>9</v>
      </c>
      <c r="B89" s="92" t="s">
        <v>126</v>
      </c>
      <c r="C89" s="92" t="s">
        <v>283</v>
      </c>
      <c r="D89" s="34" t="str">
        <f>IF('PLAN Stand'!D89&lt;&gt;"",'PLAN Stand'!D89,"")</f>
        <v/>
      </c>
      <c r="E89" s="31"/>
      <c r="F89" s="39"/>
      <c r="G89" s="35"/>
    </row>
    <row r="90" spans="1:7" ht="24.95" customHeight="1">
      <c r="A90" s="91" t="s">
        <v>9</v>
      </c>
      <c r="B90" s="92" t="s">
        <v>127</v>
      </c>
      <c r="C90" s="92" t="s">
        <v>284</v>
      </c>
      <c r="D90" s="34" t="str">
        <f>IF('PLAN Stand'!D90&lt;&gt;"",'PLAN Stand'!D90,"")</f>
        <v/>
      </c>
      <c r="E90" s="31"/>
      <c r="F90" s="39"/>
      <c r="G90" s="35"/>
    </row>
    <row r="91" spans="1:7" ht="24.95" customHeight="1">
      <c r="A91" s="91" t="s">
        <v>9</v>
      </c>
      <c r="B91" s="92" t="s">
        <v>128</v>
      </c>
      <c r="C91" s="92" t="s">
        <v>284</v>
      </c>
      <c r="D91" s="34" t="str">
        <f>IF('PLAN Stand'!D91&lt;&gt;"",'PLAN Stand'!D91,"")</f>
        <v/>
      </c>
      <c r="E91" s="33"/>
      <c r="F91" s="39"/>
      <c r="G91" s="35"/>
    </row>
    <row r="92" spans="1:7" ht="24.95" customHeight="1">
      <c r="A92" s="91" t="s">
        <v>9</v>
      </c>
      <c r="B92" s="92" t="s">
        <v>129</v>
      </c>
      <c r="C92" s="92" t="s">
        <v>284</v>
      </c>
      <c r="D92" s="34" t="str">
        <f>IF('PLAN Stand'!D92&lt;&gt;"",'PLAN Stand'!D92,"")</f>
        <v/>
      </c>
      <c r="E92" s="31"/>
      <c r="F92" s="39"/>
      <c r="G92" s="35"/>
    </row>
    <row r="93" spans="1:7" ht="24.95" customHeight="1">
      <c r="A93" s="91" t="s">
        <v>9</v>
      </c>
      <c r="B93" s="92" t="s">
        <v>130</v>
      </c>
      <c r="C93" s="92" t="s">
        <v>284</v>
      </c>
      <c r="D93" s="34" t="str">
        <f>IF('PLAN Stand'!D93&lt;&gt;"",'PLAN Stand'!D93,"")</f>
        <v/>
      </c>
      <c r="E93" s="33"/>
      <c r="F93" s="39"/>
      <c r="G93" s="35"/>
    </row>
    <row r="94" spans="1:7" ht="24.95" customHeight="1">
      <c r="A94" s="91" t="s">
        <v>9</v>
      </c>
      <c r="B94" s="92" t="s">
        <v>131</v>
      </c>
      <c r="C94" s="92" t="s">
        <v>284</v>
      </c>
      <c r="D94" s="34" t="str">
        <f>IF('PLAN Stand'!D94&lt;&gt;"",'PLAN Stand'!D94,"")</f>
        <v/>
      </c>
      <c r="E94" s="31"/>
      <c r="F94" s="39"/>
      <c r="G94" s="35"/>
    </row>
    <row r="95" spans="1:7" ht="24.95" customHeight="1">
      <c r="A95" s="91" t="s">
        <v>9</v>
      </c>
      <c r="B95" s="92" t="s">
        <v>132</v>
      </c>
      <c r="C95" s="92" t="s">
        <v>284</v>
      </c>
      <c r="D95" s="34" t="str">
        <f>IF('PLAN Stand'!D95&lt;&gt;"",'PLAN Stand'!D95,"")</f>
        <v/>
      </c>
      <c r="E95" s="33"/>
      <c r="F95" s="39"/>
      <c r="G95" s="35"/>
    </row>
    <row r="96" spans="1:7" ht="24.95" hidden="1" customHeight="1">
      <c r="A96" s="91"/>
      <c r="B96" s="92"/>
      <c r="C96" s="92"/>
      <c r="D96" s="34" t="str">
        <f>IF('PLAN Stand'!D96&lt;&gt;"",'PLAN Stand'!D96,"")</f>
        <v/>
      </c>
      <c r="E96" s="31"/>
      <c r="F96" s="39"/>
      <c r="G96" s="35"/>
    </row>
    <row r="97" spans="1:7" ht="24.95" hidden="1" customHeight="1">
      <c r="A97" s="91"/>
      <c r="B97" s="92"/>
      <c r="C97" s="92"/>
      <c r="D97" s="34" t="str">
        <f>IF('PLAN Stand'!D97&lt;&gt;"",'PLAN Stand'!D97,"")</f>
        <v/>
      </c>
      <c r="E97" s="33"/>
      <c r="F97" s="39"/>
      <c r="G97" s="35"/>
    </row>
    <row r="98" spans="1:7" ht="24.95" hidden="1" customHeight="1">
      <c r="A98" s="91"/>
      <c r="B98" s="92"/>
      <c r="C98" s="92"/>
      <c r="D98" s="34" t="str">
        <f>IF('PLAN Stand'!D98&lt;&gt;"",'PLAN Stand'!D98,"")</f>
        <v/>
      </c>
      <c r="E98" s="31"/>
      <c r="F98" s="39"/>
      <c r="G98" s="35"/>
    </row>
    <row r="99" spans="1:7" ht="24.95" hidden="1" customHeight="1">
      <c r="A99" s="91"/>
      <c r="B99" s="92"/>
      <c r="C99" s="92"/>
      <c r="D99" s="34" t="str">
        <f>IF('PLAN Stand'!D99&lt;&gt;"",'PLAN Stand'!D99,"")</f>
        <v/>
      </c>
      <c r="E99" s="33"/>
      <c r="F99" s="39"/>
      <c r="G99" s="35"/>
    </row>
    <row r="100" spans="1:7" ht="24.95" hidden="1" customHeight="1">
      <c r="A100" s="91"/>
      <c r="B100" s="92"/>
      <c r="C100" s="92"/>
      <c r="D100" s="34" t="str">
        <f>IF('PLAN Stand'!D100&lt;&gt;"",'PLAN Stand'!D100,"")</f>
        <v/>
      </c>
      <c r="E100" s="33"/>
      <c r="F100" s="39"/>
      <c r="G100" s="35"/>
    </row>
    <row r="101" spans="1:7" ht="24.95" customHeight="1">
      <c r="A101" s="91" t="s">
        <v>8</v>
      </c>
      <c r="B101" s="92" t="s">
        <v>135</v>
      </c>
      <c r="C101" s="92" t="s">
        <v>136</v>
      </c>
      <c r="D101" s="34" t="str">
        <f>IF('PLAN Stand'!D101&lt;&gt;"",'PLAN Stand'!D101,"")</f>
        <v/>
      </c>
      <c r="E101" s="34"/>
      <c r="F101" s="39"/>
      <c r="G101" s="35"/>
    </row>
    <row r="102" spans="1:7" ht="24.95" customHeight="1">
      <c r="A102" s="91" t="s">
        <v>8</v>
      </c>
      <c r="B102" s="92" t="s">
        <v>137</v>
      </c>
      <c r="C102" s="92" t="s">
        <v>136</v>
      </c>
      <c r="D102" s="34" t="str">
        <f>IF('PLAN Stand'!D102&lt;&gt;"",'PLAN Stand'!D102,"")</f>
        <v/>
      </c>
      <c r="E102" s="34"/>
      <c r="F102" s="39"/>
      <c r="G102" s="35"/>
    </row>
    <row r="103" spans="1:7" ht="24.95" customHeight="1">
      <c r="A103" s="91" t="s">
        <v>8</v>
      </c>
      <c r="B103" s="92" t="s">
        <v>138</v>
      </c>
      <c r="C103" s="92" t="s">
        <v>136</v>
      </c>
      <c r="D103" s="34" t="str">
        <f>IF('PLAN Stand'!D103&lt;&gt;"",'PLAN Stand'!D103,"")</f>
        <v/>
      </c>
      <c r="E103" s="34"/>
      <c r="F103" s="39"/>
      <c r="G103" s="35"/>
    </row>
    <row r="104" spans="1:7" ht="24.95" customHeight="1">
      <c r="A104" s="91" t="s">
        <v>8</v>
      </c>
      <c r="B104" s="92" t="s">
        <v>139</v>
      </c>
      <c r="C104" s="92" t="s">
        <v>136</v>
      </c>
      <c r="D104" s="34" t="str">
        <f>IF('PLAN Stand'!D104&lt;&gt;"",'PLAN Stand'!D104,"")</f>
        <v/>
      </c>
      <c r="E104" s="34"/>
      <c r="F104" s="39"/>
      <c r="G104" s="35"/>
    </row>
    <row r="105" spans="1:7" ht="24.95" customHeight="1">
      <c r="A105" s="91" t="s">
        <v>8</v>
      </c>
      <c r="B105" s="92" t="s">
        <v>140</v>
      </c>
      <c r="C105" s="92" t="s">
        <v>136</v>
      </c>
      <c r="D105" s="34" t="str">
        <f>IF('PLAN Stand'!D105&lt;&gt;"",'PLAN Stand'!D105,"")</f>
        <v/>
      </c>
      <c r="E105" s="34"/>
      <c r="F105" s="39"/>
      <c r="G105" s="35"/>
    </row>
    <row r="106" spans="1:7" ht="24.95" customHeight="1">
      <c r="A106" s="91" t="s">
        <v>8</v>
      </c>
      <c r="B106" s="92" t="s">
        <v>141</v>
      </c>
      <c r="C106" s="92" t="s">
        <v>136</v>
      </c>
      <c r="D106" s="34" t="str">
        <f>IF('PLAN Stand'!D106&lt;&gt;"",'PLAN Stand'!D106,"")</f>
        <v/>
      </c>
      <c r="E106" s="34"/>
      <c r="F106" s="39"/>
      <c r="G106" s="35"/>
    </row>
    <row r="107" spans="1:7" ht="24.95" customHeight="1">
      <c r="A107" s="91" t="s">
        <v>8</v>
      </c>
      <c r="B107" s="92" t="s">
        <v>142</v>
      </c>
      <c r="C107" s="92" t="s">
        <v>136</v>
      </c>
      <c r="D107" s="34" t="str">
        <f>IF('PLAN Stand'!D107&lt;&gt;"",'PLAN Stand'!D107,"")</f>
        <v/>
      </c>
      <c r="E107" s="34"/>
      <c r="F107" s="39"/>
      <c r="G107" s="35"/>
    </row>
    <row r="108" spans="1:7" ht="24.95" customHeight="1">
      <c r="A108" s="91" t="s">
        <v>8</v>
      </c>
      <c r="B108" s="92" t="s">
        <v>143</v>
      </c>
      <c r="C108" s="92" t="s">
        <v>136</v>
      </c>
      <c r="D108" s="34" t="str">
        <f>IF('PLAN Stand'!D108&lt;&gt;"",'PLAN Stand'!D108,"")</f>
        <v/>
      </c>
      <c r="E108" s="34"/>
      <c r="F108" s="39"/>
      <c r="G108" s="35"/>
    </row>
    <row r="109" spans="1:7" ht="24.95" customHeight="1">
      <c r="A109" s="91" t="s">
        <v>8</v>
      </c>
      <c r="B109" s="92" t="s">
        <v>144</v>
      </c>
      <c r="C109" s="92" t="s">
        <v>136</v>
      </c>
      <c r="D109" s="34" t="str">
        <f>IF('PLAN Stand'!D109&lt;&gt;"",'PLAN Stand'!D109,"")</f>
        <v/>
      </c>
      <c r="E109" s="34"/>
      <c r="F109" s="39"/>
      <c r="G109" s="35"/>
    </row>
    <row r="110" spans="1:7" ht="24.95" customHeight="1">
      <c r="A110" s="91" t="s">
        <v>8</v>
      </c>
      <c r="B110" s="92" t="s">
        <v>145</v>
      </c>
      <c r="C110" s="92" t="s">
        <v>136</v>
      </c>
      <c r="D110" s="34" t="str">
        <f>IF('PLAN Stand'!D110&lt;&gt;"",'PLAN Stand'!D110,"")</f>
        <v/>
      </c>
      <c r="E110" s="34"/>
      <c r="F110" s="39"/>
      <c r="G110" s="35"/>
    </row>
    <row r="111" spans="1:7" ht="24.95" customHeight="1">
      <c r="A111" s="91" t="s">
        <v>8</v>
      </c>
      <c r="B111" s="92" t="s">
        <v>146</v>
      </c>
      <c r="C111" s="92" t="s">
        <v>136</v>
      </c>
      <c r="D111" s="34" t="str">
        <f>IF('PLAN Stand'!D111&lt;&gt;"",'PLAN Stand'!D111,"")</f>
        <v/>
      </c>
      <c r="E111" s="34"/>
      <c r="F111" s="39"/>
      <c r="G111" s="35"/>
    </row>
    <row r="112" spans="1:7" ht="24.95" customHeight="1">
      <c r="A112" s="91" t="s">
        <v>8</v>
      </c>
      <c r="B112" s="92" t="s">
        <v>147</v>
      </c>
      <c r="C112" s="92" t="s">
        <v>136</v>
      </c>
      <c r="D112" s="34" t="str">
        <f>IF('PLAN Stand'!D112&lt;&gt;"",'PLAN Stand'!D112,"")</f>
        <v/>
      </c>
      <c r="E112" s="34"/>
      <c r="F112" s="39"/>
      <c r="G112" s="35"/>
    </row>
    <row r="113" spans="1:7" ht="24.95" customHeight="1">
      <c r="A113" s="91" t="s">
        <v>8</v>
      </c>
      <c r="B113" s="92" t="s">
        <v>148</v>
      </c>
      <c r="C113" s="92" t="s">
        <v>149</v>
      </c>
      <c r="D113" s="34" t="str">
        <f>IF('PLAN Stand'!D113&lt;&gt;"",'PLAN Stand'!D113,"")</f>
        <v/>
      </c>
      <c r="E113" s="34"/>
      <c r="F113" s="39"/>
      <c r="G113" s="35"/>
    </row>
    <row r="114" spans="1:7" ht="24.95" customHeight="1">
      <c r="A114" s="91" t="s">
        <v>8</v>
      </c>
      <c r="B114" s="92" t="s">
        <v>150</v>
      </c>
      <c r="C114" s="92" t="s">
        <v>149</v>
      </c>
      <c r="D114" s="34" t="str">
        <f>IF('PLAN Stand'!D114&lt;&gt;"",'PLAN Stand'!D114,"")</f>
        <v/>
      </c>
      <c r="E114" s="34"/>
      <c r="F114" s="39"/>
      <c r="G114" s="35"/>
    </row>
    <row r="115" spans="1:7" ht="24.95" customHeight="1">
      <c r="A115" s="91" t="s">
        <v>8</v>
      </c>
      <c r="B115" s="92" t="s">
        <v>151</v>
      </c>
      <c r="C115" s="92" t="s">
        <v>149</v>
      </c>
      <c r="D115" s="34" t="str">
        <f>IF('PLAN Stand'!D115&lt;&gt;"",'PLAN Stand'!D115,"")</f>
        <v/>
      </c>
      <c r="E115" s="34"/>
      <c r="F115" s="39"/>
      <c r="G115" s="35"/>
    </row>
    <row r="116" spans="1:7" ht="24.95" customHeight="1">
      <c r="A116" s="91" t="s">
        <v>8</v>
      </c>
      <c r="B116" s="92" t="s">
        <v>152</v>
      </c>
      <c r="C116" s="92" t="s">
        <v>149</v>
      </c>
      <c r="D116" s="34" t="str">
        <f>IF('PLAN Stand'!D116&lt;&gt;"",'PLAN Stand'!D116,"")</f>
        <v/>
      </c>
      <c r="E116" s="34"/>
      <c r="F116" s="39"/>
      <c r="G116" s="35"/>
    </row>
    <row r="117" spans="1:7" ht="24.95" customHeight="1">
      <c r="A117" s="91" t="s">
        <v>8</v>
      </c>
      <c r="B117" s="92" t="s">
        <v>153</v>
      </c>
      <c r="C117" s="92" t="s">
        <v>149</v>
      </c>
      <c r="D117" s="34" t="str">
        <f>IF('PLAN Stand'!D117&lt;&gt;"",'PLAN Stand'!D117,"")</f>
        <v/>
      </c>
      <c r="E117" s="34"/>
      <c r="F117" s="39"/>
      <c r="G117" s="35"/>
    </row>
    <row r="118" spans="1:7" ht="24.95" customHeight="1">
      <c r="A118" s="91" t="s">
        <v>8</v>
      </c>
      <c r="B118" s="92" t="s">
        <v>154</v>
      </c>
      <c r="C118" s="92" t="s">
        <v>149</v>
      </c>
      <c r="D118" s="34" t="str">
        <f>IF('PLAN Stand'!D118&lt;&gt;"",'PLAN Stand'!D118,"")</f>
        <v/>
      </c>
      <c r="E118" s="34"/>
      <c r="F118" s="39"/>
      <c r="G118" s="35"/>
    </row>
    <row r="119" spans="1:7" ht="24.95" customHeight="1">
      <c r="A119" s="91" t="s">
        <v>8</v>
      </c>
      <c r="B119" s="92" t="s">
        <v>147</v>
      </c>
      <c r="C119" s="92" t="s">
        <v>149</v>
      </c>
      <c r="D119" s="34" t="str">
        <f>IF('PLAN Stand'!D119&lt;&gt;"",'PLAN Stand'!D119,"")</f>
        <v/>
      </c>
      <c r="E119" s="34"/>
      <c r="F119" s="39"/>
      <c r="G119" s="35"/>
    </row>
    <row r="120" spans="1:7" ht="24.95" customHeight="1">
      <c r="A120" s="91" t="s">
        <v>8</v>
      </c>
      <c r="B120" s="92" t="s">
        <v>155</v>
      </c>
      <c r="C120" s="92" t="s">
        <v>156</v>
      </c>
      <c r="D120" s="34" t="str">
        <f>IF('PLAN Stand'!D120&lt;&gt;"",'PLAN Stand'!D120,"")</f>
        <v/>
      </c>
      <c r="E120" s="34"/>
      <c r="F120" s="39"/>
      <c r="G120" s="35"/>
    </row>
    <row r="121" spans="1:7" ht="24.95" customHeight="1">
      <c r="A121" s="91" t="s">
        <v>8</v>
      </c>
      <c r="B121" s="92" t="s">
        <v>157</v>
      </c>
      <c r="C121" s="92" t="s">
        <v>156</v>
      </c>
      <c r="D121" s="34" t="str">
        <f>IF('PLAN Stand'!D121&lt;&gt;"",'PLAN Stand'!D121,"")</f>
        <v/>
      </c>
      <c r="E121" s="34"/>
      <c r="F121" s="39"/>
      <c r="G121" s="35"/>
    </row>
    <row r="122" spans="1:7" ht="24.95" customHeight="1">
      <c r="A122" s="91" t="s">
        <v>8</v>
      </c>
      <c r="B122" s="92" t="s">
        <v>158</v>
      </c>
      <c r="C122" s="92" t="s">
        <v>156</v>
      </c>
      <c r="D122" s="34" t="str">
        <f>IF('PLAN Stand'!D122&lt;&gt;"",'PLAN Stand'!D122,"")</f>
        <v/>
      </c>
      <c r="E122" s="34"/>
      <c r="F122" s="39"/>
      <c r="G122" s="35"/>
    </row>
    <row r="123" spans="1:7" ht="24.95" customHeight="1">
      <c r="A123" s="91" t="s">
        <v>8</v>
      </c>
      <c r="B123" s="92" t="s">
        <v>159</v>
      </c>
      <c r="C123" s="92" t="s">
        <v>156</v>
      </c>
      <c r="D123" s="34" t="str">
        <f>IF('PLAN Stand'!D123&lt;&gt;"",'PLAN Stand'!D123,"")</f>
        <v/>
      </c>
      <c r="E123" s="34"/>
      <c r="F123" s="39"/>
      <c r="G123" s="35"/>
    </row>
    <row r="124" spans="1:7" ht="24.95" customHeight="1">
      <c r="A124" s="91" t="s">
        <v>8</v>
      </c>
      <c r="B124" s="92" t="s">
        <v>160</v>
      </c>
      <c r="C124" s="92" t="s">
        <v>156</v>
      </c>
      <c r="D124" s="34" t="str">
        <f>IF('PLAN Stand'!D124&lt;&gt;"",'PLAN Stand'!D124,"")</f>
        <v/>
      </c>
      <c r="E124" s="34"/>
      <c r="F124" s="39"/>
      <c r="G124" s="35"/>
    </row>
    <row r="125" spans="1:7" ht="24.95" customHeight="1">
      <c r="A125" s="91" t="s">
        <v>8</v>
      </c>
      <c r="B125" s="92" t="s">
        <v>161</v>
      </c>
      <c r="C125" s="92" t="s">
        <v>156</v>
      </c>
      <c r="D125" s="34" t="str">
        <f>IF('PLAN Stand'!D125&lt;&gt;"",'PLAN Stand'!D125,"")</f>
        <v/>
      </c>
      <c r="E125" s="34"/>
      <c r="F125" s="39"/>
      <c r="G125" s="35"/>
    </row>
    <row r="126" spans="1:7" ht="24.95" customHeight="1">
      <c r="A126" s="91" t="s">
        <v>8</v>
      </c>
      <c r="B126" s="92" t="s">
        <v>162</v>
      </c>
      <c r="C126" s="92" t="s">
        <v>156</v>
      </c>
      <c r="D126" s="34" t="str">
        <f>IF('PLAN Stand'!D126&lt;&gt;"",'PLAN Stand'!D126,"")</f>
        <v/>
      </c>
      <c r="E126" s="34"/>
      <c r="F126" s="39"/>
      <c r="G126" s="35"/>
    </row>
    <row r="127" spans="1:7" ht="24.95" customHeight="1">
      <c r="A127" s="91" t="s">
        <v>8</v>
      </c>
      <c r="B127" s="92" t="s">
        <v>147</v>
      </c>
      <c r="C127" s="92" t="s">
        <v>156</v>
      </c>
      <c r="D127" s="34" t="str">
        <f>IF('PLAN Stand'!D127&lt;&gt;"",'PLAN Stand'!D127,"")</f>
        <v/>
      </c>
      <c r="E127" s="34"/>
      <c r="F127" s="39"/>
      <c r="G127" s="35"/>
    </row>
    <row r="128" spans="1:7" ht="24.95" customHeight="1">
      <c r="A128" s="91" t="s">
        <v>8</v>
      </c>
      <c r="B128" s="92" t="s">
        <v>163</v>
      </c>
      <c r="C128" s="92" t="s">
        <v>164</v>
      </c>
      <c r="D128" s="34" t="str">
        <f>IF('PLAN Stand'!D128&lt;&gt;"",'PLAN Stand'!D128,"")</f>
        <v/>
      </c>
      <c r="E128" s="34"/>
      <c r="F128" s="39"/>
      <c r="G128" s="35"/>
    </row>
    <row r="129" spans="1:7" ht="24.95" customHeight="1">
      <c r="A129" s="91" t="s">
        <v>8</v>
      </c>
      <c r="B129" s="92" t="s">
        <v>165</v>
      </c>
      <c r="C129" s="92" t="s">
        <v>164</v>
      </c>
      <c r="D129" s="34" t="str">
        <f>IF('PLAN Stand'!D129&lt;&gt;"",'PLAN Stand'!D129,"")</f>
        <v/>
      </c>
      <c r="E129" s="34"/>
      <c r="F129" s="39"/>
      <c r="G129" s="35"/>
    </row>
    <row r="130" spans="1:7" ht="24.95" customHeight="1">
      <c r="A130" s="91" t="s">
        <v>8</v>
      </c>
      <c r="B130" s="92" t="s">
        <v>166</v>
      </c>
      <c r="C130" s="92" t="s">
        <v>164</v>
      </c>
      <c r="D130" s="34" t="str">
        <f>IF('PLAN Stand'!D130&lt;&gt;"",'PLAN Stand'!D130,"")</f>
        <v/>
      </c>
      <c r="E130" s="34"/>
      <c r="F130" s="39"/>
      <c r="G130" s="35"/>
    </row>
    <row r="131" spans="1:7" ht="24.95" customHeight="1">
      <c r="A131" s="91" t="s">
        <v>8</v>
      </c>
      <c r="B131" s="92" t="s">
        <v>167</v>
      </c>
      <c r="C131" s="92" t="s">
        <v>164</v>
      </c>
      <c r="D131" s="34" t="str">
        <f>IF('PLAN Stand'!D131&lt;&gt;"",'PLAN Stand'!D131,"")</f>
        <v/>
      </c>
      <c r="E131" s="34"/>
      <c r="F131" s="39"/>
      <c r="G131" s="35"/>
    </row>
    <row r="132" spans="1:7" ht="24.95" customHeight="1">
      <c r="A132" s="91" t="s">
        <v>8</v>
      </c>
      <c r="B132" s="92" t="s">
        <v>168</v>
      </c>
      <c r="C132" s="92" t="s">
        <v>164</v>
      </c>
      <c r="D132" s="34" t="str">
        <f>IF('PLAN Stand'!D132&lt;&gt;"",'PLAN Stand'!D132,"")</f>
        <v/>
      </c>
      <c r="E132" s="34"/>
      <c r="F132" s="39"/>
      <c r="G132" s="35"/>
    </row>
    <row r="133" spans="1:7" ht="24.95" customHeight="1">
      <c r="A133" s="91" t="s">
        <v>8</v>
      </c>
      <c r="B133" s="92" t="s">
        <v>169</v>
      </c>
      <c r="C133" s="92" t="s">
        <v>164</v>
      </c>
      <c r="D133" s="34" t="str">
        <f>IF('PLAN Stand'!D133&lt;&gt;"",'PLAN Stand'!D133,"")</f>
        <v/>
      </c>
      <c r="E133" s="34"/>
      <c r="F133" s="39"/>
      <c r="G133" s="35"/>
    </row>
    <row r="134" spans="1:7" ht="24.95" customHeight="1">
      <c r="A134" s="91" t="s">
        <v>8</v>
      </c>
      <c r="B134" s="92" t="s">
        <v>170</v>
      </c>
      <c r="C134" s="92" t="s">
        <v>164</v>
      </c>
      <c r="D134" s="34" t="str">
        <f>IF('PLAN Stand'!D134&lt;&gt;"",'PLAN Stand'!D134,"")</f>
        <v/>
      </c>
      <c r="E134" s="34"/>
      <c r="F134" s="39"/>
      <c r="G134" s="35"/>
    </row>
    <row r="135" spans="1:7" ht="24.95" customHeight="1">
      <c r="A135" s="91" t="s">
        <v>8</v>
      </c>
      <c r="B135" s="92" t="s">
        <v>147</v>
      </c>
      <c r="C135" s="92" t="s">
        <v>164</v>
      </c>
      <c r="D135" s="34" t="str">
        <f>IF('PLAN Stand'!D135&lt;&gt;"",'PLAN Stand'!D135,"")</f>
        <v/>
      </c>
      <c r="E135" s="34"/>
      <c r="F135" s="39"/>
      <c r="G135" s="35"/>
    </row>
    <row r="136" spans="1:7" ht="24.95" customHeight="1">
      <c r="A136" s="91" t="s">
        <v>8</v>
      </c>
      <c r="B136" s="92" t="s">
        <v>171</v>
      </c>
      <c r="C136" s="92" t="s">
        <v>172</v>
      </c>
      <c r="D136" s="34" t="str">
        <f>IF('PLAN Stand'!D136&lt;&gt;"",'PLAN Stand'!D136,"")</f>
        <v/>
      </c>
      <c r="E136" s="34"/>
      <c r="F136" s="39"/>
      <c r="G136" s="35"/>
    </row>
    <row r="137" spans="1:7" ht="24.95" customHeight="1">
      <c r="A137" s="91" t="s">
        <v>8</v>
      </c>
      <c r="B137" s="92" t="s">
        <v>173</v>
      </c>
      <c r="C137" s="92" t="s">
        <v>172</v>
      </c>
      <c r="D137" s="34" t="str">
        <f>IF('PLAN Stand'!D137&lt;&gt;"",'PLAN Stand'!D137,"")</f>
        <v/>
      </c>
      <c r="E137" s="34"/>
      <c r="F137" s="39"/>
      <c r="G137" s="35"/>
    </row>
    <row r="138" spans="1:7" ht="24.95" customHeight="1">
      <c r="A138" s="91" t="s">
        <v>8</v>
      </c>
      <c r="B138" s="92" t="s">
        <v>174</v>
      </c>
      <c r="C138" s="92" t="s">
        <v>172</v>
      </c>
      <c r="D138" s="34" t="str">
        <f>IF('PLAN Stand'!D138&lt;&gt;"",'PLAN Stand'!D138,"")</f>
        <v/>
      </c>
      <c r="E138" s="34"/>
      <c r="F138" s="39"/>
      <c r="G138" s="35"/>
    </row>
    <row r="139" spans="1:7" ht="24.95" customHeight="1">
      <c r="A139" s="91" t="s">
        <v>8</v>
      </c>
      <c r="B139" s="92" t="s">
        <v>175</v>
      </c>
      <c r="C139" s="92" t="s">
        <v>172</v>
      </c>
      <c r="D139" s="34" t="str">
        <f>IF('PLAN Stand'!D139&lt;&gt;"",'PLAN Stand'!D139,"")</f>
        <v/>
      </c>
      <c r="E139" s="34"/>
      <c r="F139" s="39"/>
      <c r="G139" s="35"/>
    </row>
    <row r="140" spans="1:7" ht="24.95" customHeight="1">
      <c r="A140" s="91" t="s">
        <v>8</v>
      </c>
      <c r="B140" s="92" t="s">
        <v>176</v>
      </c>
      <c r="C140" s="92" t="s">
        <v>172</v>
      </c>
      <c r="D140" s="34" t="str">
        <f>IF('PLAN Stand'!D140&lt;&gt;"",'PLAN Stand'!D140,"")</f>
        <v/>
      </c>
      <c r="E140" s="34"/>
      <c r="F140" s="39"/>
      <c r="G140" s="35"/>
    </row>
    <row r="141" spans="1:7" ht="24.95" customHeight="1">
      <c r="A141" s="91" t="s">
        <v>8</v>
      </c>
      <c r="B141" s="92" t="s">
        <v>177</v>
      </c>
      <c r="C141" s="92" t="s">
        <v>172</v>
      </c>
      <c r="D141" s="34" t="str">
        <f>IF('PLAN Stand'!D141&lt;&gt;"",'PLAN Stand'!D141,"")</f>
        <v/>
      </c>
      <c r="E141" s="34"/>
      <c r="F141" s="39"/>
      <c r="G141" s="35"/>
    </row>
    <row r="142" spans="1:7" ht="24.95" customHeight="1">
      <c r="A142" s="91" t="s">
        <v>8</v>
      </c>
      <c r="B142" s="92" t="s">
        <v>178</v>
      </c>
      <c r="C142" s="92" t="s">
        <v>172</v>
      </c>
      <c r="D142" s="34" t="str">
        <f>IF('PLAN Stand'!D142&lt;&gt;"",'PLAN Stand'!D142,"")</f>
        <v/>
      </c>
      <c r="E142" s="34"/>
      <c r="F142" s="39"/>
      <c r="G142" s="35"/>
    </row>
    <row r="143" spans="1:7" ht="24.95" customHeight="1">
      <c r="A143" s="91" t="s">
        <v>8</v>
      </c>
      <c r="B143" s="92" t="s">
        <v>147</v>
      </c>
      <c r="C143" s="92" t="s">
        <v>172</v>
      </c>
      <c r="D143" s="34" t="str">
        <f>IF('PLAN Stand'!D143&lt;&gt;"",'PLAN Stand'!D143,"")</f>
        <v/>
      </c>
      <c r="E143" s="34"/>
      <c r="F143" s="39"/>
      <c r="G143" s="35"/>
    </row>
    <row r="144" spans="1:7" ht="24.95" customHeight="1">
      <c r="A144" s="91" t="s">
        <v>8</v>
      </c>
      <c r="B144" s="92" t="s">
        <v>179</v>
      </c>
      <c r="C144" s="92" t="s">
        <v>180</v>
      </c>
      <c r="D144" s="34" t="str">
        <f>IF('PLAN Stand'!D144&lt;&gt;"",'PLAN Stand'!D144,"")</f>
        <v/>
      </c>
      <c r="E144" s="34"/>
      <c r="F144" s="39"/>
      <c r="G144" s="35"/>
    </row>
    <row r="145" spans="1:7" ht="24.95" customHeight="1">
      <c r="A145" s="91" t="s">
        <v>8</v>
      </c>
      <c r="B145" s="92" t="s">
        <v>181</v>
      </c>
      <c r="C145" s="92" t="s">
        <v>180</v>
      </c>
      <c r="D145" s="34" t="str">
        <f>IF('PLAN Stand'!D145&lt;&gt;"",'PLAN Stand'!D145,"")</f>
        <v/>
      </c>
      <c r="E145" s="34"/>
      <c r="F145" s="39"/>
      <c r="G145" s="35"/>
    </row>
    <row r="146" spans="1:7" ht="24.95" customHeight="1">
      <c r="A146" s="91" t="s">
        <v>8</v>
      </c>
      <c r="B146" s="92" t="s">
        <v>182</v>
      </c>
      <c r="C146" s="92" t="s">
        <v>180</v>
      </c>
      <c r="D146" s="34" t="str">
        <f>IF('PLAN Stand'!D146&lt;&gt;"",'PLAN Stand'!D146,"")</f>
        <v/>
      </c>
      <c r="E146" s="34"/>
      <c r="F146" s="39"/>
      <c r="G146" s="35"/>
    </row>
    <row r="147" spans="1:7" ht="24.95" customHeight="1">
      <c r="A147" s="91" t="s">
        <v>8</v>
      </c>
      <c r="B147" s="92" t="s">
        <v>183</v>
      </c>
      <c r="C147" s="92" t="s">
        <v>180</v>
      </c>
      <c r="D147" s="34" t="str">
        <f>IF('PLAN Stand'!D147&lt;&gt;"",'PLAN Stand'!D147,"")</f>
        <v/>
      </c>
      <c r="E147" s="34"/>
      <c r="F147" s="39"/>
      <c r="G147" s="35"/>
    </row>
    <row r="148" spans="1:7" ht="24.95" customHeight="1">
      <c r="A148" s="91" t="s">
        <v>8</v>
      </c>
      <c r="B148" s="92" t="s">
        <v>184</v>
      </c>
      <c r="C148" s="92" t="s">
        <v>180</v>
      </c>
      <c r="D148" s="34" t="str">
        <f>IF('PLAN Stand'!D148&lt;&gt;"",'PLAN Stand'!D148,"")</f>
        <v/>
      </c>
      <c r="E148" s="34"/>
      <c r="F148" s="39"/>
      <c r="G148" s="35"/>
    </row>
    <row r="149" spans="1:7" ht="24.95" customHeight="1">
      <c r="A149" s="91" t="s">
        <v>8</v>
      </c>
      <c r="B149" s="92" t="s">
        <v>185</v>
      </c>
      <c r="C149" s="92" t="s">
        <v>180</v>
      </c>
      <c r="D149" s="34" t="str">
        <f>IF('PLAN Stand'!D149&lt;&gt;"",'PLAN Stand'!D149,"")</f>
        <v/>
      </c>
      <c r="E149" s="34"/>
      <c r="F149" s="39"/>
      <c r="G149" s="35"/>
    </row>
    <row r="150" spans="1:7" ht="24.95" customHeight="1">
      <c r="A150" s="91" t="s">
        <v>8</v>
      </c>
      <c r="B150" s="92" t="s">
        <v>186</v>
      </c>
      <c r="C150" s="92" t="s">
        <v>180</v>
      </c>
      <c r="D150" s="34" t="str">
        <f>IF('PLAN Stand'!D150&lt;&gt;"",'PLAN Stand'!D150,"")</f>
        <v/>
      </c>
      <c r="E150" s="34"/>
      <c r="F150" s="39"/>
      <c r="G150" s="35"/>
    </row>
    <row r="151" spans="1:7" ht="24.95" customHeight="1">
      <c r="A151" s="91" t="s">
        <v>8</v>
      </c>
      <c r="B151" s="92" t="s">
        <v>147</v>
      </c>
      <c r="C151" s="92" t="s">
        <v>180</v>
      </c>
      <c r="D151" s="34" t="str">
        <f>IF('PLAN Stand'!D151&lt;&gt;"",'PLAN Stand'!D151,"")</f>
        <v/>
      </c>
      <c r="E151" s="34"/>
      <c r="F151" s="39"/>
      <c r="G151" s="35"/>
    </row>
    <row r="152" spans="1:7" ht="24.95" customHeight="1">
      <c r="A152" s="91" t="s">
        <v>8</v>
      </c>
      <c r="B152" s="92" t="s">
        <v>187</v>
      </c>
      <c r="C152" s="92" t="s">
        <v>188</v>
      </c>
      <c r="D152" s="34" t="str">
        <f>IF('PLAN Stand'!D152&lt;&gt;"",'PLAN Stand'!D152,"")</f>
        <v/>
      </c>
      <c r="E152" s="34"/>
      <c r="F152" s="39"/>
      <c r="G152" s="35"/>
    </row>
    <row r="153" spans="1:7" ht="24.95" customHeight="1">
      <c r="A153" s="91" t="s">
        <v>8</v>
      </c>
      <c r="B153" s="92" t="s">
        <v>189</v>
      </c>
      <c r="C153" s="92" t="s">
        <v>188</v>
      </c>
      <c r="D153" s="34" t="str">
        <f>IF('PLAN Stand'!D153&lt;&gt;"",'PLAN Stand'!D153,"")</f>
        <v/>
      </c>
      <c r="E153" s="34"/>
      <c r="F153" s="39"/>
      <c r="G153" s="35"/>
    </row>
    <row r="154" spans="1:7" ht="24.95" customHeight="1">
      <c r="A154" s="91" t="s">
        <v>8</v>
      </c>
      <c r="B154" s="92" t="s">
        <v>190</v>
      </c>
      <c r="C154" s="92" t="s">
        <v>188</v>
      </c>
      <c r="D154" s="34" t="str">
        <f>IF('PLAN Stand'!D154&lt;&gt;"",'PLAN Stand'!D154,"")</f>
        <v/>
      </c>
      <c r="E154" s="34"/>
      <c r="F154" s="39"/>
      <c r="G154" s="35"/>
    </row>
    <row r="155" spans="1:7" ht="24.95" customHeight="1">
      <c r="A155" s="91" t="s">
        <v>8</v>
      </c>
      <c r="B155" s="92" t="s">
        <v>191</v>
      </c>
      <c r="C155" s="92" t="s">
        <v>188</v>
      </c>
      <c r="D155" s="34" t="str">
        <f>IF('PLAN Stand'!D155&lt;&gt;"",'PLAN Stand'!D155,"")</f>
        <v/>
      </c>
      <c r="E155" s="34"/>
      <c r="F155" s="39"/>
      <c r="G155" s="35"/>
    </row>
    <row r="156" spans="1:7" ht="24.95" customHeight="1">
      <c r="A156" s="91" t="s">
        <v>8</v>
      </c>
      <c r="B156" s="92" t="s">
        <v>147</v>
      </c>
      <c r="C156" s="92" t="s">
        <v>188</v>
      </c>
      <c r="D156" s="34" t="str">
        <f>IF('PLAN Stand'!D156&lt;&gt;"",'PLAN Stand'!D156,"")</f>
        <v/>
      </c>
      <c r="E156" s="34"/>
      <c r="F156" s="39"/>
      <c r="G156" s="35"/>
    </row>
    <row r="157" spans="1:7" ht="24.95" customHeight="1">
      <c r="A157" s="91" t="s">
        <v>8</v>
      </c>
      <c r="B157" s="92" t="s">
        <v>192</v>
      </c>
      <c r="C157" s="92" t="s">
        <v>193</v>
      </c>
      <c r="D157" s="34" t="str">
        <f>IF('PLAN Stand'!D157&lt;&gt;"",'PLAN Stand'!D157,"")</f>
        <v/>
      </c>
      <c r="E157" s="34"/>
      <c r="F157" s="39"/>
      <c r="G157" s="35"/>
    </row>
    <row r="158" spans="1:7" ht="24.95" customHeight="1">
      <c r="A158" s="91" t="s">
        <v>8</v>
      </c>
      <c r="B158" s="92" t="s">
        <v>194</v>
      </c>
      <c r="C158" s="92" t="s">
        <v>193</v>
      </c>
      <c r="D158" s="34" t="str">
        <f>IF('PLAN Stand'!D158&lt;&gt;"",'PLAN Stand'!D158,"")</f>
        <v/>
      </c>
      <c r="E158" s="34"/>
      <c r="F158" s="39"/>
      <c r="G158" s="35"/>
    </row>
    <row r="159" spans="1:7" ht="24.95" customHeight="1">
      <c r="A159" s="91" t="s">
        <v>8</v>
      </c>
      <c r="B159" s="92" t="s">
        <v>195</v>
      </c>
      <c r="C159" s="92" t="s">
        <v>193</v>
      </c>
      <c r="D159" s="34" t="str">
        <f>IF('PLAN Stand'!D159&lt;&gt;"",'PLAN Stand'!D159,"")</f>
        <v/>
      </c>
      <c r="E159" s="34"/>
      <c r="F159" s="39"/>
      <c r="G159" s="35"/>
    </row>
    <row r="160" spans="1:7" ht="24.95" customHeight="1">
      <c r="A160" s="91" t="s">
        <v>8</v>
      </c>
      <c r="B160" s="92" t="s">
        <v>196</v>
      </c>
      <c r="C160" s="92" t="s">
        <v>193</v>
      </c>
      <c r="D160" s="34" t="str">
        <f>IF('PLAN Stand'!D160&lt;&gt;"",'PLAN Stand'!D160,"")</f>
        <v/>
      </c>
      <c r="E160" s="34"/>
      <c r="F160" s="39"/>
      <c r="G160" s="35"/>
    </row>
    <row r="161" spans="1:7" ht="24.95" customHeight="1">
      <c r="A161" s="91" t="s">
        <v>8</v>
      </c>
      <c r="B161" s="92" t="s">
        <v>197</v>
      </c>
      <c r="C161" s="92" t="s">
        <v>193</v>
      </c>
      <c r="D161" s="34" t="str">
        <f>IF('PLAN Stand'!D161&lt;&gt;"",'PLAN Stand'!D161,"")</f>
        <v/>
      </c>
      <c r="E161" s="34"/>
      <c r="F161" s="39"/>
      <c r="G161" s="35"/>
    </row>
    <row r="162" spans="1:7" ht="24.95" customHeight="1">
      <c r="A162" s="91" t="s">
        <v>8</v>
      </c>
      <c r="B162" s="92" t="s">
        <v>198</v>
      </c>
      <c r="C162" s="92" t="s">
        <v>193</v>
      </c>
      <c r="D162" s="34" t="str">
        <f>IF('PLAN Stand'!D162&lt;&gt;"",'PLAN Stand'!D162,"")</f>
        <v/>
      </c>
      <c r="E162" s="34"/>
      <c r="F162" s="39"/>
      <c r="G162" s="35"/>
    </row>
    <row r="163" spans="1:7" ht="24.95" customHeight="1">
      <c r="A163" s="91" t="s">
        <v>8</v>
      </c>
      <c r="B163" s="92" t="s">
        <v>199</v>
      </c>
      <c r="C163" s="92" t="s">
        <v>193</v>
      </c>
      <c r="D163" s="34" t="str">
        <f>IF('PLAN Stand'!D163&lt;&gt;"",'PLAN Stand'!D163,"")</f>
        <v/>
      </c>
      <c r="E163" s="34"/>
      <c r="F163" s="39"/>
      <c r="G163" s="35"/>
    </row>
    <row r="164" spans="1:7" ht="24.95" customHeight="1">
      <c r="A164" s="91" t="s">
        <v>8</v>
      </c>
      <c r="B164" s="92" t="s">
        <v>147</v>
      </c>
      <c r="C164" s="92" t="s">
        <v>193</v>
      </c>
      <c r="D164" s="34" t="str">
        <f>IF('PLAN Stand'!D164&lt;&gt;"",'PLAN Stand'!D164,"")</f>
        <v/>
      </c>
      <c r="E164" s="34"/>
      <c r="F164" s="39"/>
      <c r="G164" s="35"/>
    </row>
    <row r="165" spans="1:7" ht="24.95" customHeight="1">
      <c r="A165" s="91" t="s">
        <v>8</v>
      </c>
      <c r="B165" s="92" t="s">
        <v>200</v>
      </c>
      <c r="C165" s="92" t="s">
        <v>201</v>
      </c>
      <c r="D165" s="34" t="str">
        <f>IF('PLAN Stand'!D165&lt;&gt;"",'PLAN Stand'!D165,"")</f>
        <v/>
      </c>
      <c r="E165" s="34"/>
      <c r="F165" s="39"/>
      <c r="G165" s="35"/>
    </row>
    <row r="166" spans="1:7" ht="24.95" customHeight="1">
      <c r="A166" s="91" t="s">
        <v>8</v>
      </c>
      <c r="B166" s="92" t="s">
        <v>202</v>
      </c>
      <c r="C166" s="92" t="s">
        <v>201</v>
      </c>
      <c r="D166" s="34" t="str">
        <f>IF('PLAN Stand'!D166&lt;&gt;"",'PLAN Stand'!D166,"")</f>
        <v/>
      </c>
      <c r="E166" s="34"/>
      <c r="F166" s="39"/>
      <c r="G166" s="35"/>
    </row>
    <row r="167" spans="1:7" ht="24.95" customHeight="1">
      <c r="A167" s="91" t="s">
        <v>8</v>
      </c>
      <c r="B167" s="92" t="s">
        <v>203</v>
      </c>
      <c r="C167" s="92" t="s">
        <v>201</v>
      </c>
      <c r="D167" s="34" t="str">
        <f>IF('PLAN Stand'!D167&lt;&gt;"",'PLAN Stand'!D167,"")</f>
        <v/>
      </c>
      <c r="E167" s="34"/>
      <c r="F167" s="39"/>
      <c r="G167" s="35"/>
    </row>
    <row r="168" spans="1:7" ht="24.95" customHeight="1">
      <c r="A168" s="91" t="s">
        <v>8</v>
      </c>
      <c r="B168" s="92" t="s">
        <v>204</v>
      </c>
      <c r="C168" s="92" t="s">
        <v>201</v>
      </c>
      <c r="D168" s="34" t="str">
        <f>IF('PLAN Stand'!D168&lt;&gt;"",'PLAN Stand'!D168,"")</f>
        <v/>
      </c>
      <c r="E168" s="34"/>
      <c r="F168" s="39"/>
      <c r="G168" s="35"/>
    </row>
    <row r="169" spans="1:7" ht="24.95" customHeight="1">
      <c r="A169" s="91" t="s">
        <v>8</v>
      </c>
      <c r="B169" s="92" t="s">
        <v>147</v>
      </c>
      <c r="C169" s="92" t="s">
        <v>201</v>
      </c>
      <c r="D169" s="34" t="str">
        <f>IF('PLAN Stand'!D169&lt;&gt;"",'PLAN Stand'!D169,"")</f>
        <v/>
      </c>
      <c r="E169" s="34"/>
      <c r="F169" s="39"/>
      <c r="G169" s="35"/>
    </row>
    <row r="170" spans="1:7" ht="24.95" customHeight="1">
      <c r="A170" s="91" t="s">
        <v>8</v>
      </c>
      <c r="B170" s="92" t="s">
        <v>205</v>
      </c>
      <c r="C170" s="92" t="s">
        <v>388</v>
      </c>
      <c r="D170" s="34" t="str">
        <f>IF('PLAN Stand'!D170&lt;&gt;"",'PLAN Stand'!D170,"")</f>
        <v/>
      </c>
      <c r="E170" s="34"/>
      <c r="F170" s="39"/>
      <c r="G170" s="35"/>
    </row>
    <row r="171" spans="1:7" ht="24.95" customHeight="1">
      <c r="A171" s="91" t="s">
        <v>8</v>
      </c>
      <c r="B171" s="92" t="s">
        <v>206</v>
      </c>
      <c r="C171" s="92" t="s">
        <v>388</v>
      </c>
      <c r="D171" s="34" t="str">
        <f>IF('PLAN Stand'!D171&lt;&gt;"",'PLAN Stand'!D171,"")</f>
        <v/>
      </c>
      <c r="E171" s="34"/>
      <c r="F171" s="39"/>
      <c r="G171" s="35"/>
    </row>
    <row r="172" spans="1:7" ht="24.95" customHeight="1">
      <c r="A172" s="91" t="s">
        <v>8</v>
      </c>
      <c r="B172" s="92" t="s">
        <v>207</v>
      </c>
      <c r="C172" s="92" t="s">
        <v>388</v>
      </c>
      <c r="D172" s="34" t="str">
        <f>IF('PLAN Stand'!D172&lt;&gt;"",'PLAN Stand'!D172,"")</f>
        <v/>
      </c>
      <c r="E172" s="34"/>
      <c r="F172" s="39"/>
      <c r="G172" s="35"/>
    </row>
    <row r="173" spans="1:7" ht="24.95" customHeight="1">
      <c r="A173" s="91" t="s">
        <v>8</v>
      </c>
      <c r="B173" s="92" t="s">
        <v>208</v>
      </c>
      <c r="C173" s="92" t="s">
        <v>388</v>
      </c>
      <c r="D173" s="34" t="str">
        <f>IF('PLAN Stand'!D173&lt;&gt;"",'PLAN Stand'!D173,"")</f>
        <v/>
      </c>
      <c r="E173" s="34"/>
      <c r="F173" s="39"/>
      <c r="G173" s="35"/>
    </row>
    <row r="174" spans="1:7" ht="24.95" customHeight="1">
      <c r="A174" s="91" t="s">
        <v>8</v>
      </c>
      <c r="B174" s="92" t="s">
        <v>209</v>
      </c>
      <c r="C174" s="92" t="s">
        <v>388</v>
      </c>
      <c r="D174" s="34" t="str">
        <f>IF('PLAN Stand'!D174&lt;&gt;"",'PLAN Stand'!D174,"")</f>
        <v/>
      </c>
      <c r="E174" s="34"/>
      <c r="F174" s="39"/>
      <c r="G174" s="35"/>
    </row>
    <row r="175" spans="1:7" ht="24.95" customHeight="1">
      <c r="A175" s="91" t="s">
        <v>8</v>
      </c>
      <c r="B175" s="92" t="s">
        <v>147</v>
      </c>
      <c r="C175" s="92" t="s">
        <v>388</v>
      </c>
      <c r="D175" s="34" t="str">
        <f>IF('PLAN Stand'!D175&lt;&gt;"",'PLAN Stand'!D175,"")</f>
        <v/>
      </c>
      <c r="E175" s="34"/>
      <c r="F175" s="39"/>
      <c r="G175" s="35"/>
    </row>
    <row r="176" spans="1:7" ht="24.95" customHeight="1">
      <c r="A176" s="91" t="s">
        <v>8</v>
      </c>
      <c r="B176" s="92" t="s">
        <v>210</v>
      </c>
      <c r="C176" s="92" t="s">
        <v>211</v>
      </c>
      <c r="D176" s="34" t="str">
        <f>IF('PLAN Stand'!D176&lt;&gt;"",'PLAN Stand'!D176,"")</f>
        <v/>
      </c>
      <c r="E176" s="34"/>
      <c r="F176" s="39"/>
      <c r="G176" s="35"/>
    </row>
    <row r="177" spans="1:7" ht="24.95" customHeight="1">
      <c r="A177" s="91" t="s">
        <v>8</v>
      </c>
      <c r="B177" s="92" t="s">
        <v>212</v>
      </c>
      <c r="C177" s="92" t="s">
        <v>211</v>
      </c>
      <c r="D177" s="34" t="str">
        <f>IF('PLAN Stand'!D177&lt;&gt;"",'PLAN Stand'!D177,"")</f>
        <v/>
      </c>
      <c r="E177" s="34"/>
      <c r="F177" s="39"/>
      <c r="G177" s="35"/>
    </row>
    <row r="178" spans="1:7" ht="24.95" customHeight="1">
      <c r="A178" s="91" t="s">
        <v>8</v>
      </c>
      <c r="B178" s="92" t="s">
        <v>213</v>
      </c>
      <c r="C178" s="92" t="s">
        <v>211</v>
      </c>
      <c r="D178" s="34" t="str">
        <f>IF('PLAN Stand'!D178&lt;&gt;"",'PLAN Stand'!D178,"")</f>
        <v/>
      </c>
      <c r="E178" s="34"/>
      <c r="F178" s="39"/>
      <c r="G178" s="35"/>
    </row>
    <row r="179" spans="1:7" ht="24.95" customHeight="1">
      <c r="A179" s="91" t="s">
        <v>8</v>
      </c>
      <c r="B179" s="92" t="s">
        <v>214</v>
      </c>
      <c r="C179" s="92" t="s">
        <v>211</v>
      </c>
      <c r="D179" s="34" t="str">
        <f>IF('PLAN Stand'!D179&lt;&gt;"",'PLAN Stand'!D179,"")</f>
        <v/>
      </c>
      <c r="E179" s="34"/>
      <c r="F179" s="39"/>
      <c r="G179" s="35"/>
    </row>
    <row r="180" spans="1:7" ht="24.95" customHeight="1">
      <c r="A180" s="91" t="s">
        <v>8</v>
      </c>
      <c r="B180" s="92" t="s">
        <v>215</v>
      </c>
      <c r="C180" s="92" t="s">
        <v>211</v>
      </c>
      <c r="D180" s="34" t="str">
        <f>IF('PLAN Stand'!D180&lt;&gt;"",'PLAN Stand'!D180,"")</f>
        <v/>
      </c>
      <c r="E180" s="34"/>
      <c r="F180" s="39"/>
      <c r="G180" s="35"/>
    </row>
    <row r="181" spans="1:7" ht="24.95" customHeight="1">
      <c r="A181" s="91" t="s">
        <v>8</v>
      </c>
      <c r="B181" s="92" t="s">
        <v>216</v>
      </c>
      <c r="C181" s="92" t="s">
        <v>211</v>
      </c>
      <c r="D181" s="34" t="str">
        <f>IF('PLAN Stand'!D181&lt;&gt;"",'PLAN Stand'!D181,"")</f>
        <v/>
      </c>
      <c r="E181" s="34"/>
      <c r="F181" s="39"/>
      <c r="G181" s="35"/>
    </row>
    <row r="182" spans="1:7" ht="24.95" customHeight="1">
      <c r="A182" s="91" t="s">
        <v>8</v>
      </c>
      <c r="B182" s="92" t="s">
        <v>147</v>
      </c>
      <c r="C182" s="92" t="s">
        <v>211</v>
      </c>
      <c r="D182" s="34" t="str">
        <f>IF('PLAN Stand'!D182&lt;&gt;"",'PLAN Stand'!D182,"")</f>
        <v/>
      </c>
      <c r="E182" s="34"/>
      <c r="F182" s="39"/>
      <c r="G182" s="35"/>
    </row>
    <row r="183" spans="1:7" ht="24.95" customHeight="1">
      <c r="A183" s="91" t="s">
        <v>8</v>
      </c>
      <c r="B183" s="92" t="s">
        <v>217</v>
      </c>
      <c r="C183" s="92" t="s">
        <v>218</v>
      </c>
      <c r="D183" s="34" t="str">
        <f>IF('PLAN Stand'!D183&lt;&gt;"",'PLAN Stand'!D183,"")</f>
        <v/>
      </c>
      <c r="E183" s="34"/>
      <c r="F183" s="39"/>
      <c r="G183" s="35"/>
    </row>
    <row r="184" spans="1:7" ht="24.95" customHeight="1">
      <c r="A184" s="91" t="s">
        <v>8</v>
      </c>
      <c r="B184" s="92" t="s">
        <v>219</v>
      </c>
      <c r="C184" s="92" t="s">
        <v>218</v>
      </c>
      <c r="D184" s="34" t="str">
        <f>IF('PLAN Stand'!D184&lt;&gt;"",'PLAN Stand'!D184,"")</f>
        <v/>
      </c>
      <c r="E184" s="34"/>
      <c r="F184" s="39"/>
      <c r="G184" s="35"/>
    </row>
    <row r="185" spans="1:7" ht="24.95" customHeight="1">
      <c r="A185" s="91" t="s">
        <v>8</v>
      </c>
      <c r="B185" s="92" t="s">
        <v>220</v>
      </c>
      <c r="C185" s="92" t="s">
        <v>218</v>
      </c>
      <c r="D185" s="34" t="str">
        <f>IF('PLAN Stand'!D185&lt;&gt;"",'PLAN Stand'!D185,"")</f>
        <v/>
      </c>
      <c r="E185" s="34"/>
      <c r="F185" s="39"/>
      <c r="G185" s="35"/>
    </row>
    <row r="186" spans="1:7" ht="24.95" customHeight="1">
      <c r="A186" s="91" t="s">
        <v>8</v>
      </c>
      <c r="B186" s="92" t="s">
        <v>221</v>
      </c>
      <c r="C186" s="92" t="s">
        <v>218</v>
      </c>
      <c r="D186" s="34" t="str">
        <f>IF('PLAN Stand'!D186&lt;&gt;"",'PLAN Stand'!D186,"")</f>
        <v/>
      </c>
      <c r="E186" s="34"/>
      <c r="F186" s="39"/>
      <c r="G186" s="35"/>
    </row>
    <row r="187" spans="1:7" ht="24.95" customHeight="1">
      <c r="A187" s="91" t="s">
        <v>8</v>
      </c>
      <c r="B187" s="92" t="s">
        <v>222</v>
      </c>
      <c r="C187" s="92" t="s">
        <v>218</v>
      </c>
      <c r="D187" s="34" t="str">
        <f>IF('PLAN Stand'!D187&lt;&gt;"",'PLAN Stand'!D187,"")</f>
        <v/>
      </c>
      <c r="E187" s="34"/>
      <c r="F187" s="39"/>
      <c r="G187" s="35"/>
    </row>
    <row r="188" spans="1:7" ht="24.95" customHeight="1">
      <c r="A188" s="91" t="s">
        <v>8</v>
      </c>
      <c r="B188" s="92" t="s">
        <v>223</v>
      </c>
      <c r="C188" s="92" t="s">
        <v>218</v>
      </c>
      <c r="D188" s="34" t="str">
        <f>IF('PLAN Stand'!D188&lt;&gt;"",'PLAN Stand'!D188,"")</f>
        <v/>
      </c>
      <c r="E188" s="34"/>
      <c r="F188" s="39"/>
      <c r="G188" s="35"/>
    </row>
    <row r="189" spans="1:7" ht="24.95" customHeight="1">
      <c r="A189" s="91" t="s">
        <v>8</v>
      </c>
      <c r="B189" s="92" t="s">
        <v>224</v>
      </c>
      <c r="C189" s="92" t="s">
        <v>218</v>
      </c>
      <c r="D189" s="34" t="str">
        <f>IF('PLAN Stand'!D189&lt;&gt;"",'PLAN Stand'!D189,"")</f>
        <v/>
      </c>
      <c r="E189" s="34"/>
      <c r="F189" s="39"/>
      <c r="G189" s="35"/>
    </row>
    <row r="190" spans="1:7" ht="24.95" customHeight="1">
      <c r="A190" s="91" t="s">
        <v>8</v>
      </c>
      <c r="B190" s="92" t="s">
        <v>225</v>
      </c>
      <c r="C190" s="92" t="s">
        <v>218</v>
      </c>
      <c r="D190" s="34" t="str">
        <f>IF('PLAN Stand'!D190&lt;&gt;"",'PLAN Stand'!D190,"")</f>
        <v/>
      </c>
      <c r="E190" s="34"/>
      <c r="F190" s="39"/>
      <c r="G190" s="35"/>
    </row>
    <row r="191" spans="1:7" ht="24.95" customHeight="1">
      <c r="A191" s="91" t="s">
        <v>8</v>
      </c>
      <c r="B191" s="92" t="s">
        <v>226</v>
      </c>
      <c r="C191" s="92" t="s">
        <v>227</v>
      </c>
      <c r="D191" s="34" t="str">
        <f>IF('PLAN Stand'!D191&lt;&gt;"",'PLAN Stand'!D191,"")</f>
        <v/>
      </c>
      <c r="E191" s="34"/>
      <c r="F191" s="39"/>
      <c r="G191" s="35"/>
    </row>
    <row r="192" spans="1:7" ht="24.95" customHeight="1">
      <c r="A192" s="91" t="s">
        <v>8</v>
      </c>
      <c r="B192" s="92" t="s">
        <v>228</v>
      </c>
      <c r="C192" s="92" t="s">
        <v>227</v>
      </c>
      <c r="D192" s="34" t="str">
        <f>IF('PLAN Stand'!D192&lt;&gt;"",'PLAN Stand'!D192,"")</f>
        <v/>
      </c>
      <c r="E192" s="34"/>
      <c r="F192" s="39"/>
      <c r="G192" s="35"/>
    </row>
    <row r="193" spans="1:7" ht="24.95" customHeight="1">
      <c r="A193" s="91" t="s">
        <v>8</v>
      </c>
      <c r="B193" s="92" t="s">
        <v>229</v>
      </c>
      <c r="C193" s="92" t="s">
        <v>227</v>
      </c>
      <c r="D193" s="34" t="str">
        <f>IF('PLAN Stand'!D193&lt;&gt;"",'PLAN Stand'!D193,"")</f>
        <v/>
      </c>
      <c r="E193" s="34"/>
      <c r="F193" s="39"/>
      <c r="G193" s="35"/>
    </row>
    <row r="194" spans="1:7" ht="24.95" customHeight="1">
      <c r="A194" s="91" t="s">
        <v>8</v>
      </c>
      <c r="B194" s="92" t="s">
        <v>230</v>
      </c>
      <c r="C194" s="92" t="s">
        <v>227</v>
      </c>
      <c r="D194" s="34" t="str">
        <f>IF('PLAN Stand'!D194&lt;&gt;"",'PLAN Stand'!D194,"")</f>
        <v/>
      </c>
      <c r="E194" s="34"/>
      <c r="F194" s="39"/>
      <c r="G194" s="35"/>
    </row>
    <row r="195" spans="1:7" ht="24.95" customHeight="1">
      <c r="A195" s="91" t="s">
        <v>8</v>
      </c>
      <c r="B195" s="92" t="s">
        <v>231</v>
      </c>
      <c r="C195" s="92" t="s">
        <v>227</v>
      </c>
      <c r="D195" s="34" t="str">
        <f>IF('PLAN Stand'!D195&lt;&gt;"",'PLAN Stand'!D195,"")</f>
        <v/>
      </c>
      <c r="E195" s="34"/>
      <c r="F195" s="39"/>
      <c r="G195" s="35"/>
    </row>
    <row r="196" spans="1:7" ht="24.95" customHeight="1">
      <c r="A196" s="91" t="s">
        <v>8</v>
      </c>
      <c r="B196" s="92" t="s">
        <v>232</v>
      </c>
      <c r="C196" s="92" t="s">
        <v>227</v>
      </c>
      <c r="D196" s="34" t="str">
        <f>IF('PLAN Stand'!D196&lt;&gt;"",'PLAN Stand'!D196,"")</f>
        <v/>
      </c>
      <c r="E196" s="34"/>
      <c r="F196" s="39"/>
      <c r="G196" s="35"/>
    </row>
    <row r="197" spans="1:7" ht="24.95" customHeight="1">
      <c r="A197" s="91" t="s">
        <v>8</v>
      </c>
      <c r="B197" s="92" t="s">
        <v>233</v>
      </c>
      <c r="C197" s="92" t="s">
        <v>227</v>
      </c>
      <c r="D197" s="34" t="str">
        <f>IF('PLAN Stand'!D197&lt;&gt;"",'PLAN Stand'!D197,"")</f>
        <v/>
      </c>
      <c r="E197" s="34"/>
      <c r="F197" s="39"/>
      <c r="G197" s="35"/>
    </row>
    <row r="198" spans="1:7" ht="24.95" customHeight="1">
      <c r="A198" s="91" t="s">
        <v>8</v>
      </c>
      <c r="B198" s="92" t="s">
        <v>147</v>
      </c>
      <c r="C198" s="92" t="s">
        <v>227</v>
      </c>
      <c r="D198" s="34" t="str">
        <f>IF('PLAN Stand'!D198&lt;&gt;"",'PLAN Stand'!D198,"")</f>
        <v/>
      </c>
      <c r="E198" s="34"/>
      <c r="F198" s="39"/>
      <c r="G198" s="35"/>
    </row>
    <row r="199" spans="1:7" ht="24.95" customHeight="1">
      <c r="A199" s="91" t="s">
        <v>8</v>
      </c>
      <c r="B199" s="92" t="s">
        <v>234</v>
      </c>
      <c r="C199" s="92" t="s">
        <v>235</v>
      </c>
      <c r="D199" s="34" t="str">
        <f>IF('PLAN Stand'!D199&lt;&gt;"",'PLAN Stand'!D199,"")</f>
        <v/>
      </c>
      <c r="E199" s="34"/>
      <c r="F199" s="39"/>
      <c r="G199" s="35"/>
    </row>
    <row r="200" spans="1:7" ht="24.95" customHeight="1">
      <c r="A200" s="91" t="s">
        <v>8</v>
      </c>
      <c r="B200" s="92" t="s">
        <v>236</v>
      </c>
      <c r="C200" s="92" t="s">
        <v>235</v>
      </c>
      <c r="D200" s="34" t="str">
        <f>IF('PLAN Stand'!D200&lt;&gt;"",'PLAN Stand'!D200,"")</f>
        <v/>
      </c>
      <c r="E200" s="34"/>
      <c r="F200" s="39"/>
      <c r="G200" s="35"/>
    </row>
    <row r="201" spans="1:7" ht="24.95" customHeight="1">
      <c r="A201" s="91" t="s">
        <v>8</v>
      </c>
      <c r="B201" s="92" t="s">
        <v>237</v>
      </c>
      <c r="C201" s="92" t="s">
        <v>235</v>
      </c>
      <c r="D201" s="34" t="str">
        <f>IF('PLAN Stand'!D201&lt;&gt;"",'PLAN Stand'!D201,"")</f>
        <v/>
      </c>
      <c r="E201" s="34"/>
      <c r="F201" s="39"/>
      <c r="G201" s="35"/>
    </row>
    <row r="202" spans="1:7" ht="24.95" customHeight="1">
      <c r="A202" s="91" t="s">
        <v>8</v>
      </c>
      <c r="B202" s="92" t="s">
        <v>238</v>
      </c>
      <c r="C202" s="92" t="s">
        <v>235</v>
      </c>
      <c r="D202" s="34" t="str">
        <f>IF('PLAN Stand'!D202&lt;&gt;"",'PLAN Stand'!D202,"")</f>
        <v/>
      </c>
      <c r="E202" s="34"/>
      <c r="F202" s="39"/>
      <c r="G202" s="35"/>
    </row>
    <row r="203" spans="1:7" ht="24.95" customHeight="1">
      <c r="A203" s="91" t="s">
        <v>8</v>
      </c>
      <c r="B203" s="92" t="s">
        <v>239</v>
      </c>
      <c r="C203" s="92" t="s">
        <v>235</v>
      </c>
      <c r="D203" s="34" t="str">
        <f>IF('PLAN Stand'!D203&lt;&gt;"",'PLAN Stand'!D203,"")</f>
        <v/>
      </c>
      <c r="E203" s="34"/>
      <c r="F203" s="39"/>
      <c r="G203" s="35"/>
    </row>
    <row r="204" spans="1:7" ht="24.95" customHeight="1">
      <c r="A204" s="91" t="s">
        <v>8</v>
      </c>
      <c r="B204" s="92" t="s">
        <v>147</v>
      </c>
      <c r="C204" s="92" t="s">
        <v>235</v>
      </c>
      <c r="D204" s="34" t="str">
        <f>IF('PLAN Stand'!D204&lt;&gt;"",'PLAN Stand'!D204,"")</f>
        <v/>
      </c>
      <c r="E204" s="34"/>
      <c r="F204" s="39"/>
      <c r="G204" s="35"/>
    </row>
    <row r="205" spans="1:7" ht="24.95" customHeight="1">
      <c r="A205" s="91" t="s">
        <v>8</v>
      </c>
      <c r="B205" s="92" t="s">
        <v>240</v>
      </c>
      <c r="C205" s="92" t="s">
        <v>241</v>
      </c>
      <c r="D205" s="34" t="str">
        <f>IF('PLAN Stand'!D205&lt;&gt;"",'PLAN Stand'!D205,"")</f>
        <v/>
      </c>
      <c r="E205" s="34"/>
      <c r="F205" s="39"/>
      <c r="G205" s="35"/>
    </row>
    <row r="206" spans="1:7" ht="24.95" customHeight="1">
      <c r="A206" s="91" t="s">
        <v>8</v>
      </c>
      <c r="B206" s="92" t="s">
        <v>242</v>
      </c>
      <c r="C206" s="92" t="s">
        <v>241</v>
      </c>
      <c r="D206" s="34" t="str">
        <f>IF('PLAN Stand'!D206&lt;&gt;"",'PLAN Stand'!D206,"")</f>
        <v/>
      </c>
      <c r="E206" s="34"/>
      <c r="F206" s="39"/>
      <c r="G206" s="35"/>
    </row>
    <row r="207" spans="1:7" ht="24.95" customHeight="1">
      <c r="A207" s="91" t="s">
        <v>8</v>
      </c>
      <c r="B207" s="92" t="s">
        <v>243</v>
      </c>
      <c r="C207" s="92" t="s">
        <v>241</v>
      </c>
      <c r="D207" s="34" t="str">
        <f>IF('PLAN Stand'!D207&lt;&gt;"",'PLAN Stand'!D207,"")</f>
        <v/>
      </c>
      <c r="E207" s="34"/>
      <c r="F207" s="39"/>
      <c r="G207" s="35"/>
    </row>
    <row r="208" spans="1:7" ht="24.95" customHeight="1">
      <c r="A208" s="91" t="s">
        <v>8</v>
      </c>
      <c r="B208" s="92" t="s">
        <v>244</v>
      </c>
      <c r="C208" s="92" t="s">
        <v>241</v>
      </c>
      <c r="D208" s="34" t="str">
        <f>IF('PLAN Stand'!D208&lt;&gt;"",'PLAN Stand'!D208,"")</f>
        <v/>
      </c>
      <c r="E208" s="34"/>
      <c r="F208" s="39"/>
      <c r="G208" s="35"/>
    </row>
    <row r="209" spans="1:7" ht="24.95" customHeight="1">
      <c r="A209" s="91" t="s">
        <v>8</v>
      </c>
      <c r="B209" s="92" t="s">
        <v>245</v>
      </c>
      <c r="C209" s="92" t="s">
        <v>241</v>
      </c>
      <c r="D209" s="34" t="str">
        <f>IF('PLAN Stand'!D209&lt;&gt;"",'PLAN Stand'!D209,"")</f>
        <v/>
      </c>
      <c r="E209" s="34"/>
      <c r="F209" s="39"/>
      <c r="G209" s="35"/>
    </row>
    <row r="210" spans="1:7" ht="24.95" customHeight="1">
      <c r="A210" s="91" t="s">
        <v>8</v>
      </c>
      <c r="B210" s="92" t="s">
        <v>246</v>
      </c>
      <c r="C210" s="92" t="s">
        <v>241</v>
      </c>
      <c r="D210" s="34" t="str">
        <f>IF('PLAN Stand'!D210&lt;&gt;"",'PLAN Stand'!D210,"")</f>
        <v/>
      </c>
      <c r="E210" s="34"/>
      <c r="F210" s="39"/>
      <c r="G210" s="35"/>
    </row>
    <row r="211" spans="1:7" ht="24.95" customHeight="1">
      <c r="A211" s="91" t="s">
        <v>8</v>
      </c>
      <c r="B211" s="92" t="s">
        <v>147</v>
      </c>
      <c r="C211" s="92" t="s">
        <v>241</v>
      </c>
      <c r="D211" s="34" t="str">
        <f>IF('PLAN Stand'!D211&lt;&gt;"",'PLAN Stand'!D211,"")</f>
        <v/>
      </c>
      <c r="E211" s="34"/>
      <c r="F211" s="39"/>
      <c r="G211" s="35"/>
    </row>
    <row r="212" spans="1:7" ht="24.95" customHeight="1">
      <c r="A212" s="91" t="s">
        <v>8</v>
      </c>
      <c r="B212" s="92" t="s">
        <v>247</v>
      </c>
      <c r="C212" s="92" t="s">
        <v>248</v>
      </c>
      <c r="D212" s="34" t="str">
        <f>IF('PLAN Stand'!D212&lt;&gt;"",'PLAN Stand'!D212,"")</f>
        <v/>
      </c>
      <c r="E212" s="34"/>
      <c r="F212" s="39"/>
      <c r="G212" s="35"/>
    </row>
    <row r="213" spans="1:7" ht="24.95" customHeight="1">
      <c r="A213" s="91" t="s">
        <v>8</v>
      </c>
      <c r="B213" s="92" t="s">
        <v>249</v>
      </c>
      <c r="C213" s="92" t="s">
        <v>248</v>
      </c>
      <c r="D213" s="34" t="str">
        <f>IF('PLAN Stand'!D213&lt;&gt;"",'PLAN Stand'!D213,"")</f>
        <v/>
      </c>
      <c r="E213" s="34"/>
      <c r="F213" s="39"/>
      <c r="G213" s="35"/>
    </row>
    <row r="214" spans="1:7" ht="24.95" customHeight="1">
      <c r="A214" s="91" t="s">
        <v>8</v>
      </c>
      <c r="B214" s="92" t="s">
        <v>250</v>
      </c>
      <c r="C214" s="92" t="s">
        <v>248</v>
      </c>
      <c r="D214" s="34" t="str">
        <f>IF('PLAN Stand'!D214&lt;&gt;"",'PLAN Stand'!D214,"")</f>
        <v/>
      </c>
      <c r="E214" s="34"/>
      <c r="F214" s="39"/>
      <c r="G214" s="35"/>
    </row>
    <row r="215" spans="1:7" ht="24.95" customHeight="1">
      <c r="A215" s="91" t="s">
        <v>8</v>
      </c>
      <c r="B215" s="92" t="s">
        <v>251</v>
      </c>
      <c r="C215" s="92" t="s">
        <v>248</v>
      </c>
      <c r="D215" s="34" t="str">
        <f>IF('PLAN Stand'!D215&lt;&gt;"",'PLAN Stand'!D215,"")</f>
        <v/>
      </c>
      <c r="E215" s="34"/>
      <c r="F215" s="39"/>
      <c r="G215" s="35"/>
    </row>
    <row r="216" spans="1:7" ht="24.95" customHeight="1">
      <c r="A216" s="91" t="s">
        <v>8</v>
      </c>
      <c r="B216" s="92" t="s">
        <v>252</v>
      </c>
      <c r="C216" s="92" t="s">
        <v>248</v>
      </c>
      <c r="D216" s="34" t="str">
        <f>IF('PLAN Stand'!D216&lt;&gt;"",'PLAN Stand'!D216,"")</f>
        <v/>
      </c>
      <c r="E216" s="34"/>
      <c r="F216" s="39"/>
      <c r="G216" s="35"/>
    </row>
    <row r="217" spans="1:7" ht="24.95" customHeight="1">
      <c r="A217" s="91" t="s">
        <v>8</v>
      </c>
      <c r="B217" s="92" t="s">
        <v>253</v>
      </c>
      <c r="C217" s="92" t="s">
        <v>248</v>
      </c>
      <c r="D217" s="34" t="str">
        <f>IF('PLAN Stand'!D217&lt;&gt;"",'PLAN Stand'!D217,"")</f>
        <v/>
      </c>
      <c r="E217" s="34"/>
      <c r="F217" s="39"/>
      <c r="G217" s="35"/>
    </row>
    <row r="218" spans="1:7" ht="24.95" customHeight="1">
      <c r="A218" s="91" t="s">
        <v>8</v>
      </c>
      <c r="B218" s="92" t="s">
        <v>254</v>
      </c>
      <c r="C218" s="92" t="s">
        <v>248</v>
      </c>
      <c r="D218" s="34" t="str">
        <f>IF('PLAN Stand'!D218&lt;&gt;"",'PLAN Stand'!D218,"")</f>
        <v/>
      </c>
      <c r="E218" s="34"/>
      <c r="F218" s="39"/>
      <c r="G218" s="35"/>
    </row>
    <row r="219" spans="1:7" ht="24.95" customHeight="1">
      <c r="A219" s="91" t="s">
        <v>8</v>
      </c>
      <c r="B219" s="92" t="s">
        <v>147</v>
      </c>
      <c r="C219" s="92" t="s">
        <v>248</v>
      </c>
      <c r="D219" s="34" t="str">
        <f>IF('PLAN Stand'!D219&lt;&gt;"",'PLAN Stand'!D219,"")</f>
        <v/>
      </c>
      <c r="E219" s="34"/>
      <c r="F219" s="39"/>
      <c r="G219" s="35"/>
    </row>
    <row r="220" spans="1:7" ht="24.95" customHeight="1">
      <c r="A220" s="91" t="s">
        <v>8</v>
      </c>
      <c r="B220" s="92" t="s">
        <v>255</v>
      </c>
      <c r="C220" s="92" t="s">
        <v>256</v>
      </c>
      <c r="D220" s="34" t="str">
        <f>IF('PLAN Stand'!D220&lt;&gt;"",'PLAN Stand'!D220,"")</f>
        <v/>
      </c>
      <c r="E220" s="34"/>
      <c r="F220" s="39"/>
      <c r="G220" s="35"/>
    </row>
    <row r="221" spans="1:7" ht="24.95" customHeight="1">
      <c r="A221" s="91" t="s">
        <v>8</v>
      </c>
      <c r="B221" s="92" t="s">
        <v>257</v>
      </c>
      <c r="C221" s="92" t="s">
        <v>256</v>
      </c>
      <c r="D221" s="34" t="str">
        <f>IF('PLAN Stand'!D221&lt;&gt;"",'PLAN Stand'!D221,"")</f>
        <v/>
      </c>
      <c r="E221" s="34"/>
      <c r="F221" s="39"/>
      <c r="G221" s="35"/>
    </row>
    <row r="222" spans="1:7" ht="24.95" customHeight="1">
      <c r="A222" s="91" t="s">
        <v>8</v>
      </c>
      <c r="B222" s="92" t="s">
        <v>258</v>
      </c>
      <c r="C222" s="92" t="s">
        <v>256</v>
      </c>
      <c r="D222" s="34" t="str">
        <f>IF('PLAN Stand'!D222&lt;&gt;"",'PLAN Stand'!D222,"")</f>
        <v/>
      </c>
      <c r="E222" s="34"/>
      <c r="F222" s="39"/>
      <c r="G222" s="35"/>
    </row>
    <row r="223" spans="1:7" ht="24.95" customHeight="1">
      <c r="A223" s="91" t="s">
        <v>8</v>
      </c>
      <c r="B223" s="92" t="s">
        <v>259</v>
      </c>
      <c r="C223" s="92" t="s">
        <v>256</v>
      </c>
      <c r="D223" s="34" t="str">
        <f>IF('PLAN Stand'!D223&lt;&gt;"",'PLAN Stand'!D223,"")</f>
        <v/>
      </c>
      <c r="E223" s="34"/>
      <c r="F223" s="39"/>
      <c r="G223" s="35"/>
    </row>
    <row r="224" spans="1:7" ht="24.95" customHeight="1">
      <c r="A224" s="91" t="s">
        <v>8</v>
      </c>
      <c r="B224" s="92" t="s">
        <v>260</v>
      </c>
      <c r="C224" s="92" t="s">
        <v>256</v>
      </c>
      <c r="D224" s="34" t="str">
        <f>IF('PLAN Stand'!D224&lt;&gt;"",'PLAN Stand'!D224,"")</f>
        <v/>
      </c>
      <c r="E224" s="34"/>
      <c r="F224" s="39"/>
      <c r="G224" s="35"/>
    </row>
    <row r="225" spans="1:7" ht="24.95" customHeight="1">
      <c r="A225" s="91" t="s">
        <v>8</v>
      </c>
      <c r="B225" s="92" t="s">
        <v>261</v>
      </c>
      <c r="C225" s="92" t="s">
        <v>256</v>
      </c>
      <c r="D225" s="34" t="str">
        <f>IF('PLAN Stand'!D225&lt;&gt;"",'PLAN Stand'!D225,"")</f>
        <v/>
      </c>
      <c r="E225" s="34"/>
      <c r="F225" s="39"/>
      <c r="G225" s="35"/>
    </row>
    <row r="226" spans="1:7" ht="24.95" customHeight="1">
      <c r="A226" s="91" t="s">
        <v>8</v>
      </c>
      <c r="B226" s="92" t="s">
        <v>262</v>
      </c>
      <c r="C226" s="92" t="s">
        <v>256</v>
      </c>
      <c r="D226" s="34" t="str">
        <f>IF('PLAN Stand'!D226&lt;&gt;"",'PLAN Stand'!D226,"")</f>
        <v/>
      </c>
      <c r="E226" s="34"/>
      <c r="F226" s="39"/>
      <c r="G226" s="35"/>
    </row>
    <row r="227" spans="1:7" ht="24.95" customHeight="1">
      <c r="A227" s="93" t="s">
        <v>8</v>
      </c>
      <c r="B227" s="94" t="s">
        <v>263</v>
      </c>
      <c r="C227" s="94" t="s">
        <v>256</v>
      </c>
      <c r="D227" s="34" t="str">
        <f>IF('PLAN Stand'!D227&lt;&gt;"",'PLAN Stand'!D227,"")</f>
        <v/>
      </c>
      <c r="E227" s="36"/>
      <c r="F227" s="40"/>
      <c r="G227" s="37"/>
    </row>
    <row r="228" spans="1:7" ht="24.95" customHeight="1">
      <c r="A228" s="91" t="s">
        <v>10</v>
      </c>
      <c r="B228" s="92" t="s">
        <v>285</v>
      </c>
      <c r="C228" s="92" t="s">
        <v>293</v>
      </c>
      <c r="D228" s="34" t="str">
        <f>IF('PLAN Stand'!D228&lt;&gt;"",'PLAN Stand'!D228,"")</f>
        <v/>
      </c>
      <c r="E228" s="34"/>
      <c r="F228" s="39"/>
      <c r="G228" s="35"/>
    </row>
    <row r="229" spans="1:7" ht="24.95" customHeight="1">
      <c r="A229" s="91" t="s">
        <v>10</v>
      </c>
      <c r="B229" s="95" t="s">
        <v>286</v>
      </c>
      <c r="C229" s="92" t="s">
        <v>293</v>
      </c>
      <c r="D229" s="34" t="str">
        <f>IF('PLAN Stand'!D229&lt;&gt;"",'PLAN Stand'!D229,"")</f>
        <v/>
      </c>
      <c r="E229" s="34"/>
      <c r="F229" s="39"/>
      <c r="G229" s="35"/>
    </row>
    <row r="230" spans="1:7" ht="24.95" customHeight="1">
      <c r="A230" s="91" t="s">
        <v>10</v>
      </c>
      <c r="B230" s="95" t="s">
        <v>287</v>
      </c>
      <c r="C230" s="92" t="s">
        <v>294</v>
      </c>
      <c r="D230" s="34" t="str">
        <f>IF('PLAN Stand'!D230&lt;&gt;"",'PLAN Stand'!D230,"")</f>
        <v/>
      </c>
      <c r="E230" s="34"/>
      <c r="F230" s="39"/>
      <c r="G230" s="35"/>
    </row>
    <row r="231" spans="1:7" ht="24.95" customHeight="1">
      <c r="A231" s="91" t="s">
        <v>10</v>
      </c>
      <c r="B231" s="95" t="s">
        <v>288</v>
      </c>
      <c r="C231" s="92" t="s">
        <v>294</v>
      </c>
      <c r="D231" s="34" t="str">
        <f>IF('PLAN Stand'!D231&lt;&gt;"",'PLAN Stand'!D231,"")</f>
        <v/>
      </c>
      <c r="E231" s="34"/>
      <c r="F231" s="39"/>
      <c r="G231" s="35"/>
    </row>
    <row r="232" spans="1:7" ht="24.95" customHeight="1">
      <c r="A232" s="91" t="s">
        <v>10</v>
      </c>
      <c r="B232" s="95" t="s">
        <v>289</v>
      </c>
      <c r="C232" s="92" t="s">
        <v>294</v>
      </c>
      <c r="D232" s="34" t="str">
        <f>IF('PLAN Stand'!D232&lt;&gt;"",'PLAN Stand'!D232,"")</f>
        <v/>
      </c>
      <c r="E232" s="34"/>
      <c r="F232" s="39"/>
      <c r="G232" s="35"/>
    </row>
    <row r="233" spans="1:7" ht="24.95" customHeight="1">
      <c r="A233" s="91" t="s">
        <v>10</v>
      </c>
      <c r="B233" s="95" t="s">
        <v>290</v>
      </c>
      <c r="C233" s="92" t="s">
        <v>295</v>
      </c>
      <c r="D233" s="34" t="str">
        <f>IF('PLAN Stand'!D233&lt;&gt;"",'PLAN Stand'!D233,"")</f>
        <v/>
      </c>
      <c r="E233" s="34"/>
      <c r="F233" s="39"/>
      <c r="G233" s="35"/>
    </row>
    <row r="234" spans="1:7" ht="24.95" customHeight="1">
      <c r="A234" s="91" t="s">
        <v>10</v>
      </c>
      <c r="B234" s="95" t="s">
        <v>291</v>
      </c>
      <c r="C234" s="92" t="s">
        <v>296</v>
      </c>
      <c r="D234" s="34" t="str">
        <f>IF('PLAN Stand'!D234&lt;&gt;"",'PLAN Stand'!D234,"")</f>
        <v/>
      </c>
      <c r="E234" s="34"/>
      <c r="F234" s="39"/>
      <c r="G234" s="35"/>
    </row>
    <row r="235" spans="1:7" ht="24.95" customHeight="1">
      <c r="A235" s="93" t="s">
        <v>10</v>
      </c>
      <c r="B235" s="112" t="s">
        <v>292</v>
      </c>
      <c r="C235" s="92" t="s">
        <v>296</v>
      </c>
      <c r="D235" s="34" t="str">
        <f>IF('PLAN Stand'!D235&lt;&gt;"",'PLAN Stand'!D235,"")</f>
        <v/>
      </c>
      <c r="E235" s="36"/>
      <c r="F235" s="40"/>
      <c r="G235" s="37"/>
    </row>
    <row r="236" spans="1:7" ht="24.95" customHeight="1">
      <c r="A236" s="97" t="s">
        <v>300</v>
      </c>
      <c r="B236" s="98" t="s">
        <v>344</v>
      </c>
      <c r="C236" s="98" t="s">
        <v>345</v>
      </c>
      <c r="D236" s="34" t="str">
        <f>IF('PLAN Stand'!D236&lt;&gt;"",'PLAN Stand'!D236,"")</f>
        <v/>
      </c>
      <c r="E236" s="34"/>
      <c r="F236" s="39"/>
      <c r="G236" s="35"/>
    </row>
    <row r="237" spans="1:7" ht="24.95" customHeight="1">
      <c r="A237" s="97" t="s">
        <v>300</v>
      </c>
      <c r="B237" s="98" t="s">
        <v>346</v>
      </c>
      <c r="C237" s="98" t="s">
        <v>345</v>
      </c>
      <c r="D237" s="34" t="str">
        <f>IF('PLAN Stand'!D237&lt;&gt;"",'PLAN Stand'!D237,"")</f>
        <v/>
      </c>
      <c r="E237" s="34"/>
      <c r="F237" s="39"/>
      <c r="G237" s="35"/>
    </row>
    <row r="238" spans="1:7" ht="24.95" customHeight="1">
      <c r="A238" s="97" t="s">
        <v>300</v>
      </c>
      <c r="B238" s="98" t="s">
        <v>347</v>
      </c>
      <c r="C238" s="98" t="s">
        <v>345</v>
      </c>
      <c r="D238" s="34" t="str">
        <f>IF('PLAN Stand'!D238&lt;&gt;"",'PLAN Stand'!D238,"")</f>
        <v/>
      </c>
      <c r="E238" s="34"/>
      <c r="F238" s="39"/>
      <c r="G238" s="35"/>
    </row>
    <row r="239" spans="1:7" ht="24.95" customHeight="1">
      <c r="A239" s="97" t="s">
        <v>300</v>
      </c>
      <c r="B239" s="98" t="s">
        <v>348</v>
      </c>
      <c r="C239" s="98" t="s">
        <v>349</v>
      </c>
      <c r="D239" s="34" t="str">
        <f>IF('PLAN Stand'!D239&lt;&gt;"",'PLAN Stand'!D239,"")</f>
        <v/>
      </c>
      <c r="E239" s="34"/>
      <c r="F239" s="39"/>
      <c r="G239" s="35"/>
    </row>
    <row r="240" spans="1:7" ht="24.95" customHeight="1">
      <c r="A240" s="97" t="s">
        <v>300</v>
      </c>
      <c r="B240" s="98" t="s">
        <v>350</v>
      </c>
      <c r="C240" s="98" t="s">
        <v>349</v>
      </c>
      <c r="D240" s="34" t="str">
        <f>IF('PLAN Stand'!D240&lt;&gt;"",'PLAN Stand'!D240,"")</f>
        <v/>
      </c>
      <c r="E240" s="34"/>
      <c r="F240" s="39"/>
      <c r="G240" s="35"/>
    </row>
    <row r="241" spans="1:7" ht="24.95" customHeight="1">
      <c r="A241" s="97" t="s">
        <v>300</v>
      </c>
      <c r="B241" s="98" t="s">
        <v>351</v>
      </c>
      <c r="C241" s="98" t="s">
        <v>349</v>
      </c>
      <c r="D241" s="34" t="str">
        <f>IF('PLAN Stand'!D241&lt;&gt;"",'PLAN Stand'!D241,"")</f>
        <v/>
      </c>
      <c r="E241" s="34"/>
      <c r="F241" s="39"/>
      <c r="G241" s="35"/>
    </row>
    <row r="242" spans="1:7" ht="24.95" customHeight="1">
      <c r="A242" s="97" t="s">
        <v>300</v>
      </c>
      <c r="B242" s="98" t="s">
        <v>352</v>
      </c>
      <c r="C242" s="98" t="s">
        <v>349</v>
      </c>
      <c r="D242" s="34" t="str">
        <f>IF('PLAN Stand'!D242&lt;&gt;"",'PLAN Stand'!D242,"")</f>
        <v/>
      </c>
      <c r="E242" s="34"/>
      <c r="F242" s="39"/>
      <c r="G242" s="35"/>
    </row>
    <row r="243" spans="1:7" ht="24.95" customHeight="1">
      <c r="A243" s="97" t="s">
        <v>300</v>
      </c>
      <c r="B243" s="98" t="s">
        <v>353</v>
      </c>
      <c r="C243" s="98" t="s">
        <v>354</v>
      </c>
      <c r="D243" s="34" t="str">
        <f>IF('PLAN Stand'!D243&lt;&gt;"",'PLAN Stand'!D243,"")</f>
        <v/>
      </c>
      <c r="E243" s="34"/>
      <c r="F243" s="39"/>
      <c r="G243" s="35"/>
    </row>
    <row r="244" spans="1:7" ht="24.95" customHeight="1">
      <c r="A244" s="97" t="s">
        <v>300</v>
      </c>
      <c r="B244" s="98" t="s">
        <v>355</v>
      </c>
      <c r="C244" s="98" t="s">
        <v>354</v>
      </c>
      <c r="D244" s="34" t="str">
        <f>IF('PLAN Stand'!D244&lt;&gt;"",'PLAN Stand'!D244,"")</f>
        <v/>
      </c>
      <c r="E244" s="34"/>
      <c r="F244" s="39"/>
      <c r="G244" s="35"/>
    </row>
    <row r="245" spans="1:7" ht="24.95" customHeight="1">
      <c r="A245" s="97" t="s">
        <v>300</v>
      </c>
      <c r="B245" s="98" t="s">
        <v>356</v>
      </c>
      <c r="C245" s="98" t="s">
        <v>354</v>
      </c>
      <c r="D245" s="34" t="str">
        <f>IF('PLAN Stand'!D245&lt;&gt;"",'PLAN Stand'!D245,"")</f>
        <v/>
      </c>
      <c r="E245" s="34"/>
      <c r="F245" s="39"/>
      <c r="G245" s="35"/>
    </row>
    <row r="246" spans="1:7" ht="24.95" customHeight="1">
      <c r="A246" s="97" t="s">
        <v>300</v>
      </c>
      <c r="B246" s="98" t="s">
        <v>357</v>
      </c>
      <c r="C246" s="98" t="s">
        <v>354</v>
      </c>
      <c r="D246" s="34" t="str">
        <f>IF('PLAN Stand'!D246&lt;&gt;"",'PLAN Stand'!D246,"")</f>
        <v/>
      </c>
      <c r="E246" s="34"/>
      <c r="F246" s="39"/>
      <c r="G246" s="35"/>
    </row>
    <row r="247" spans="1:7" ht="24.95" customHeight="1">
      <c r="A247" s="97" t="s">
        <v>300</v>
      </c>
      <c r="B247" s="98" t="s">
        <v>358</v>
      </c>
      <c r="C247" s="98" t="s">
        <v>354</v>
      </c>
      <c r="D247" s="34" t="str">
        <f>IF('PLAN Stand'!D247&lt;&gt;"",'PLAN Stand'!D247,"")</f>
        <v/>
      </c>
      <c r="E247" s="34"/>
      <c r="F247" s="39"/>
      <c r="G247" s="35"/>
    </row>
    <row r="248" spans="1:7" ht="24.95" customHeight="1">
      <c r="A248" s="97" t="s">
        <v>300</v>
      </c>
      <c r="B248" s="98" t="s">
        <v>359</v>
      </c>
      <c r="C248" s="98" t="s">
        <v>354</v>
      </c>
      <c r="D248" s="34" t="str">
        <f>IF('PLAN Stand'!D248&lt;&gt;"",'PLAN Stand'!D248,"")</f>
        <v/>
      </c>
      <c r="E248" s="34"/>
      <c r="F248" s="39"/>
      <c r="G248" s="35"/>
    </row>
    <row r="249" spans="1:7" ht="24.95" customHeight="1">
      <c r="A249" s="97" t="s">
        <v>300</v>
      </c>
      <c r="B249" s="98" t="s">
        <v>360</v>
      </c>
      <c r="C249" s="98" t="s">
        <v>361</v>
      </c>
      <c r="D249" s="34" t="str">
        <f>IF('PLAN Stand'!D249&lt;&gt;"",'PLAN Stand'!D249,"")</f>
        <v/>
      </c>
      <c r="E249" s="34"/>
      <c r="F249" s="39"/>
      <c r="G249" s="35"/>
    </row>
    <row r="250" spans="1:7" ht="24.95" customHeight="1">
      <c r="A250" s="97" t="s">
        <v>300</v>
      </c>
      <c r="B250" s="98" t="s">
        <v>362</v>
      </c>
      <c r="C250" s="98" t="s">
        <v>361</v>
      </c>
      <c r="D250" s="34" t="str">
        <f>IF('PLAN Stand'!D250&lt;&gt;"",'PLAN Stand'!D250,"")</f>
        <v/>
      </c>
      <c r="E250" s="34"/>
      <c r="F250" s="39"/>
      <c r="G250" s="35"/>
    </row>
    <row r="251" spans="1:7" ht="24.95" customHeight="1">
      <c r="A251" s="97" t="s">
        <v>300</v>
      </c>
      <c r="B251" s="98" t="s">
        <v>363</v>
      </c>
      <c r="C251" s="98" t="s">
        <v>361</v>
      </c>
      <c r="D251" s="34" t="str">
        <f>IF('PLAN Stand'!D251&lt;&gt;"",'PLAN Stand'!D251,"")</f>
        <v/>
      </c>
      <c r="E251" s="34"/>
      <c r="F251" s="39"/>
      <c r="G251" s="35"/>
    </row>
    <row r="252" spans="1:7" ht="24.95" customHeight="1">
      <c r="A252" s="97" t="s">
        <v>300</v>
      </c>
      <c r="B252" s="98" t="s">
        <v>364</v>
      </c>
      <c r="C252" s="98" t="s">
        <v>361</v>
      </c>
      <c r="D252" s="34" t="str">
        <f>IF('PLAN Stand'!D252&lt;&gt;"",'PLAN Stand'!D252,"")</f>
        <v/>
      </c>
      <c r="E252" s="34"/>
      <c r="F252" s="39"/>
      <c r="G252" s="35"/>
    </row>
    <row r="253" spans="1:7" ht="24.95" customHeight="1">
      <c r="A253" s="97" t="s">
        <v>300</v>
      </c>
      <c r="B253" s="98" t="s">
        <v>365</v>
      </c>
      <c r="C253" s="98" t="s">
        <v>361</v>
      </c>
      <c r="D253" s="34" t="str">
        <f>IF('PLAN Stand'!D253&lt;&gt;"",'PLAN Stand'!D253,"")</f>
        <v/>
      </c>
      <c r="E253" s="34"/>
      <c r="F253" s="39"/>
      <c r="G253" s="35"/>
    </row>
    <row r="254" spans="1:7" ht="24.95" customHeight="1">
      <c r="A254" s="97" t="s">
        <v>300</v>
      </c>
      <c r="B254" s="98" t="s">
        <v>366</v>
      </c>
      <c r="C254" s="98" t="s">
        <v>361</v>
      </c>
      <c r="D254" s="34" t="str">
        <f>IF('PLAN Stand'!D254&lt;&gt;"",'PLAN Stand'!D254,"")</f>
        <v/>
      </c>
      <c r="E254" s="34"/>
      <c r="F254" s="39"/>
      <c r="G254" s="35"/>
    </row>
    <row r="255" spans="1:7" ht="24.95" customHeight="1">
      <c r="A255" s="97" t="s">
        <v>300</v>
      </c>
      <c r="B255" s="98" t="s">
        <v>367</v>
      </c>
      <c r="C255" s="98" t="s">
        <v>368</v>
      </c>
      <c r="D255" s="34" t="str">
        <f>IF('PLAN Stand'!D255&lt;&gt;"",'PLAN Stand'!D255,"")</f>
        <v/>
      </c>
      <c r="E255" s="34"/>
      <c r="F255" s="39"/>
      <c r="G255" s="35"/>
    </row>
    <row r="256" spans="1:7" ht="24.95" customHeight="1">
      <c r="A256" s="97" t="s">
        <v>300</v>
      </c>
      <c r="B256" s="98" t="s">
        <v>369</v>
      </c>
      <c r="C256" s="98" t="s">
        <v>368</v>
      </c>
      <c r="D256" s="34" t="str">
        <f>IF('PLAN Stand'!D256&lt;&gt;"",'PLAN Stand'!D256,"")</f>
        <v/>
      </c>
      <c r="E256" s="34"/>
      <c r="F256" s="39"/>
      <c r="G256" s="35"/>
    </row>
    <row r="257" spans="1:7" ht="24.95" customHeight="1">
      <c r="A257" s="97" t="s">
        <v>300</v>
      </c>
      <c r="B257" s="98" t="s">
        <v>370</v>
      </c>
      <c r="C257" s="98" t="s">
        <v>368</v>
      </c>
      <c r="D257" s="34" t="str">
        <f>IF('PLAN Stand'!D257&lt;&gt;"",'PLAN Stand'!D257,"")</f>
        <v/>
      </c>
      <c r="E257" s="34"/>
      <c r="F257" s="39"/>
      <c r="G257" s="35"/>
    </row>
    <row r="258" spans="1:7" ht="24.95" customHeight="1">
      <c r="A258" s="97" t="s">
        <v>300</v>
      </c>
      <c r="B258" s="98" t="s">
        <v>371</v>
      </c>
      <c r="C258" s="98" t="s">
        <v>368</v>
      </c>
      <c r="D258" s="34" t="str">
        <f>IF('PLAN Stand'!D258&lt;&gt;"",'PLAN Stand'!D258,"")</f>
        <v/>
      </c>
      <c r="E258" s="34"/>
      <c r="F258" s="39"/>
      <c r="G258" s="35"/>
    </row>
    <row r="259" spans="1:7" ht="24.95" customHeight="1">
      <c r="A259" s="97" t="s">
        <v>300</v>
      </c>
      <c r="B259" s="98" t="s">
        <v>372</v>
      </c>
      <c r="C259" s="98" t="s">
        <v>368</v>
      </c>
      <c r="D259" s="34" t="str">
        <f>IF('PLAN Stand'!D259&lt;&gt;"",'PLAN Stand'!D259,"")</f>
        <v/>
      </c>
      <c r="E259" s="34"/>
      <c r="F259" s="39"/>
      <c r="G259" s="35"/>
    </row>
    <row r="260" spans="1:7" ht="24.95" customHeight="1">
      <c r="A260" s="97" t="s">
        <v>300</v>
      </c>
      <c r="B260" s="98" t="s">
        <v>373</v>
      </c>
      <c r="C260" s="98" t="s">
        <v>368</v>
      </c>
      <c r="D260" s="34" t="str">
        <f>IF('PLAN Stand'!D260&lt;&gt;"",'PLAN Stand'!D260,"")</f>
        <v/>
      </c>
      <c r="E260" s="34"/>
      <c r="F260" s="39"/>
      <c r="G260" s="35"/>
    </row>
    <row r="261" spans="1:7" ht="24.95" customHeight="1">
      <c r="A261" s="97" t="s">
        <v>300</v>
      </c>
      <c r="B261" s="98" t="s">
        <v>374</v>
      </c>
      <c r="C261" s="98" t="s">
        <v>368</v>
      </c>
      <c r="D261" s="34" t="str">
        <f>IF('PLAN Stand'!D261&lt;&gt;"",'PLAN Stand'!D261,"")</f>
        <v/>
      </c>
      <c r="E261" s="34"/>
      <c r="F261" s="39"/>
      <c r="G261" s="35"/>
    </row>
    <row r="262" spans="1:7" ht="24.95" customHeight="1">
      <c r="A262" s="97" t="s">
        <v>300</v>
      </c>
      <c r="B262" s="98" t="s">
        <v>375</v>
      </c>
      <c r="C262" s="98" t="s">
        <v>368</v>
      </c>
      <c r="D262" s="34" t="str">
        <f>IF('PLAN Stand'!D262&lt;&gt;"",'PLAN Stand'!D262,"")</f>
        <v/>
      </c>
      <c r="E262" s="34"/>
      <c r="F262" s="39"/>
      <c r="G262" s="35"/>
    </row>
    <row r="263" spans="1:7" ht="24.95" customHeight="1">
      <c r="A263" s="97" t="s">
        <v>300</v>
      </c>
      <c r="B263" s="98" t="s">
        <v>376</v>
      </c>
      <c r="C263" s="98" t="s">
        <v>377</v>
      </c>
      <c r="D263" s="34" t="str">
        <f>IF('PLAN Stand'!D263&lt;&gt;"",'PLAN Stand'!D263,"")</f>
        <v/>
      </c>
      <c r="E263" s="34"/>
      <c r="F263" s="39"/>
      <c r="G263" s="35"/>
    </row>
    <row r="264" spans="1:7" ht="24.95" customHeight="1">
      <c r="A264" s="97" t="s">
        <v>300</v>
      </c>
      <c r="B264" s="98" t="s">
        <v>378</v>
      </c>
      <c r="C264" s="98" t="s">
        <v>377</v>
      </c>
      <c r="D264" s="34" t="str">
        <f>IF('PLAN Stand'!D264&lt;&gt;"",'PLAN Stand'!D264,"")</f>
        <v/>
      </c>
      <c r="E264" s="34"/>
      <c r="F264" s="39"/>
      <c r="G264" s="35"/>
    </row>
    <row r="265" spans="1:7" ht="24.95" customHeight="1">
      <c r="A265" s="97" t="s">
        <v>300</v>
      </c>
      <c r="B265" s="98" t="s">
        <v>379</v>
      </c>
      <c r="C265" s="98" t="s">
        <v>377</v>
      </c>
      <c r="D265" s="34" t="str">
        <f>IF('PLAN Stand'!D265&lt;&gt;"",'PLAN Stand'!D265,"")</f>
        <v/>
      </c>
      <c r="E265" s="34"/>
      <c r="F265" s="39"/>
      <c r="G265" s="35"/>
    </row>
    <row r="266" spans="1:7" ht="24.95" customHeight="1">
      <c r="A266" s="97" t="s">
        <v>300</v>
      </c>
      <c r="B266" s="98" t="s">
        <v>380</v>
      </c>
      <c r="C266" s="98" t="s">
        <v>377</v>
      </c>
      <c r="D266" s="34" t="str">
        <f>IF('PLAN Stand'!D266&lt;&gt;"",'PLAN Stand'!D266,"")</f>
        <v/>
      </c>
      <c r="E266" s="34"/>
      <c r="F266" s="39"/>
      <c r="G266" s="35"/>
    </row>
    <row r="267" spans="1:7" ht="24.95" customHeight="1">
      <c r="A267" s="97" t="s">
        <v>300</v>
      </c>
      <c r="B267" s="98" t="s">
        <v>381</v>
      </c>
      <c r="C267" s="98" t="s">
        <v>377</v>
      </c>
      <c r="D267" s="34" t="str">
        <f>IF('PLAN Stand'!D267&lt;&gt;"",'PLAN Stand'!D267,"")</f>
        <v/>
      </c>
      <c r="E267" s="34"/>
      <c r="F267" s="39"/>
      <c r="G267" s="35"/>
    </row>
    <row r="268" spans="1:7" ht="24.95" customHeight="1">
      <c r="A268" s="97" t="s">
        <v>300</v>
      </c>
      <c r="B268" s="98" t="s">
        <v>382</v>
      </c>
      <c r="C268" s="98" t="s">
        <v>377</v>
      </c>
      <c r="D268" s="34" t="str">
        <f>IF('PLAN Stand'!D268&lt;&gt;"",'PLAN Stand'!D268,"")</f>
        <v/>
      </c>
      <c r="E268" s="34"/>
      <c r="F268" s="39"/>
      <c r="G268" s="35"/>
    </row>
    <row r="269" spans="1:7" ht="24.95" customHeight="1">
      <c r="A269" s="97" t="s">
        <v>300</v>
      </c>
      <c r="B269" s="98" t="s">
        <v>383</v>
      </c>
      <c r="C269" s="98" t="s">
        <v>377</v>
      </c>
      <c r="D269" s="34" t="str">
        <f>IF('PLAN Stand'!D269&lt;&gt;"",'PLAN Stand'!D269,"")</f>
        <v/>
      </c>
      <c r="E269" s="34"/>
      <c r="F269" s="39"/>
      <c r="G269" s="35"/>
    </row>
    <row r="270" spans="1:7" ht="24.95" customHeight="1">
      <c r="A270" s="97" t="s">
        <v>300</v>
      </c>
      <c r="B270" s="98" t="s">
        <v>384</v>
      </c>
      <c r="C270" s="98" t="s">
        <v>377</v>
      </c>
      <c r="D270" s="34" t="str">
        <f>IF('PLAN Stand'!D270&lt;&gt;"",'PLAN Stand'!D270,"")</f>
        <v/>
      </c>
      <c r="E270" s="34"/>
      <c r="F270" s="39"/>
      <c r="G270" s="35"/>
    </row>
    <row r="271" spans="1:7" ht="24.95" customHeight="1">
      <c r="A271" s="97" t="s">
        <v>300</v>
      </c>
      <c r="B271" s="98" t="s">
        <v>385</v>
      </c>
      <c r="C271" s="98" t="s">
        <v>377</v>
      </c>
      <c r="D271" s="34" t="str">
        <f>IF('PLAN Stand'!D271&lt;&gt;"",'PLAN Stand'!D271,"")</f>
        <v/>
      </c>
      <c r="E271" s="34"/>
      <c r="F271" s="39"/>
      <c r="G271" s="35"/>
    </row>
    <row r="272" spans="1:7" ht="24.95" customHeight="1">
      <c r="A272" s="99" t="s">
        <v>300</v>
      </c>
      <c r="B272" s="100" t="s">
        <v>386</v>
      </c>
      <c r="C272" s="100" t="s">
        <v>377</v>
      </c>
      <c r="D272" s="34" t="str">
        <f>IF('PLAN Stand'!D272&lt;&gt;"",'PLAN Stand'!D272,"")</f>
        <v/>
      </c>
      <c r="E272" s="36"/>
      <c r="F272" s="40"/>
      <c r="G272" s="37"/>
    </row>
    <row r="273" spans="1:7" ht="24.95" customHeight="1">
      <c r="A273" s="106" t="s">
        <v>9</v>
      </c>
      <c r="B273" s="107" t="s">
        <v>391</v>
      </c>
      <c r="C273" s="107" t="s">
        <v>275</v>
      </c>
      <c r="D273" s="110"/>
      <c r="E273" s="34"/>
      <c r="F273" s="39"/>
      <c r="G273" s="35"/>
    </row>
    <row r="274" spans="1:7" ht="24.95" customHeight="1">
      <c r="A274" s="106" t="s">
        <v>9</v>
      </c>
      <c r="B274" s="107" t="s">
        <v>392</v>
      </c>
      <c r="C274" s="107" t="s">
        <v>275</v>
      </c>
      <c r="D274" s="110"/>
      <c r="E274" s="34"/>
      <c r="F274" s="39"/>
      <c r="G274" s="35"/>
    </row>
    <row r="275" spans="1:7" ht="24.95" customHeight="1">
      <c r="A275" s="106" t="s">
        <v>9</v>
      </c>
      <c r="B275" s="107" t="s">
        <v>393</v>
      </c>
      <c r="C275" s="107" t="s">
        <v>275</v>
      </c>
      <c r="D275" s="110"/>
      <c r="E275" s="34"/>
      <c r="F275" s="39"/>
      <c r="G275" s="35"/>
    </row>
    <row r="276" spans="1:7" ht="24.95" customHeight="1">
      <c r="A276" s="108" t="s">
        <v>9</v>
      </c>
      <c r="B276" s="109" t="s">
        <v>394</v>
      </c>
      <c r="C276" s="109" t="s">
        <v>275</v>
      </c>
      <c r="D276" s="111"/>
      <c r="E276" s="36"/>
      <c r="F276" s="40"/>
      <c r="G276" s="37"/>
    </row>
    <row r="277" spans="1:7" ht="24.95" customHeight="1"/>
    <row r="278" spans="1:7" ht="24.95" customHeight="1"/>
    <row r="279" spans="1:7" ht="24.95" customHeight="1"/>
    <row r="280" spans="1:7" ht="24.95" customHeight="1"/>
    <row r="281" spans="1:7" ht="24.95" customHeight="1"/>
  </sheetData>
  <sheetProtection sheet="1" formatRows="0" autoFilter="0"/>
  <conditionalFormatting sqref="E2:E276">
    <cfRule type="expression" dxfId="4" priority="1">
      <formula>OR(   AND(D2="Teilweise",E2="Erfüllt"),   AND(D2="Nicht erfüllt",E2="Erfüllt"),   AND(D2="Nicht erfüllt",E2="Teilweise") )</formula>
    </cfRule>
    <cfRule type="expression" dxfId="3" priority="2">
      <formula>OR(   AND(D2="Erfüllt",E2="Erfüllt"),   AND(D2="Teilweise",E2="Teilweise"),   AND(D2="Nicht erfüllt",E2="Nicht erfüllt") )</formula>
    </cfRule>
    <cfRule type="expression" dxfId="2" priority="3">
      <formula>OR(   AND(D2="Erfüllt",E2="Nicht erfüllt"),   AND(D2="Teilweise",E2="Nicht erfüllt"),   AND(D2="Out of Scope",E2="Erfüllt"),   AND(D2="Out of Scope",E2="Teilweise"),   AND(D2="Out of Scope",E2="Nicht erfüllt"))</formula>
    </cfRule>
    <cfRule type="expression" dxfId="1" priority="4">
      <formula>AND(D2="Erfüllt",E2="Teilweise")</formula>
    </cfRule>
    <cfRule type="expression" dxfId="0" priority="5">
      <formula>OR(   AND(D2="Erfüllt",E2="Out of Scope"),   AND(D2="Teilweise",E2="Out of Scope"),   AND(D2="Out of Scope",E2="Out of Scope"),   AND(D2="Nicht erfüllt",E2="out of Scope") )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B7CDA8-0338-48B2-83CB-EC6728C6D2B0}">
          <x14:formula1>
            <xm:f>HowTo!$B$24:$B$27</xm:f>
          </x14:formula1>
          <xm:sqref>E2:E1048576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HowTo</vt:lpstr>
      <vt:lpstr>Erfüllungsgrad</vt:lpstr>
      <vt:lpstr>PLAN Stand</vt:lpstr>
      <vt:lpstr>IST Stand &lt;Datum&gt;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Pressmar</dc:creator>
  <cp:lastModifiedBy>Florian Gaiser</cp:lastModifiedBy>
  <dcterms:created xsi:type="dcterms:W3CDTF">2025-12-17T08:37:44Z</dcterms:created>
  <dcterms:modified xsi:type="dcterms:W3CDTF">2026-06-10T09:27:17Z</dcterms:modified>
</cp:coreProperties>
</file>