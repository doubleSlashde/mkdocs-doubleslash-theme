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hidePivotFieldList="1"/>
  <mc:AlternateContent xmlns:mc="http://schemas.openxmlformats.org/markup-compatibility/2006">
    <mc:Choice Requires="x15">
      <x15ac:absPath xmlns:x15ac="http://schemas.microsoft.com/office/spreadsheetml/2010/11/ac" url="/Users/sreimann/Documents/Simon/AG PM Toolkit/ReCode/"/>
    </mc:Choice>
  </mc:AlternateContent>
  <xr:revisionPtr revIDLastSave="0" documentId="13_ncr:1_{B50CEDEB-140B-8B41-818C-264732F29003}" xr6:coauthVersionLast="47" xr6:coauthVersionMax="47" xr10:uidLastSave="{00000000-0000-0000-0000-000000000000}"/>
  <bookViews>
    <workbookView xWindow="0" yWindow="600" windowWidth="38400" windowHeight="21920" xr2:uid="{4592370F-4BE5-E444-8105-70AEDE55350D}"/>
  </bookViews>
  <sheets>
    <sheet name="Readme" sheetId="10" r:id="rId1"/>
    <sheet name="Dashboard" sheetId="1" r:id="rId2"/>
    <sheet name="Projektkonfiguration" sheetId="9" r:id="rId3"/>
    <sheet name="Details" sheetId="8" r:id="rId4"/>
    <sheet name="Heimat Input" sheetId="2" r:id="rId5"/>
    <sheet name="Jira Input" sheetId="3" r:id="rId6"/>
  </sheets>
  <definedNames>
    <definedName name="_xlnm._FilterDatabase" localSheetId="5" hidden="1">'Jira Input'!$A$5:$I$5</definedName>
  </definedNames>
  <calcPr calcId="191028"/>
  <pivotCaches>
    <pivotCache cacheId="7" r:id="rId7"/>
    <pivotCache cacheId="1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C14" i="1"/>
  <c r="C20" i="1"/>
  <c r="F8" i="1"/>
  <c r="C8" i="1"/>
  <c r="C22" i="8"/>
  <c r="E22" i="8" s="1"/>
  <c r="B31" i="9"/>
  <c r="D7" i="3"/>
  <c r="D8" i="3"/>
  <c r="D9" i="3"/>
  <c r="D10" i="3"/>
  <c r="D11" i="3"/>
  <c r="D12" i="3"/>
  <c r="D6" i="3"/>
  <c r="C9" i="8"/>
  <c r="C10" i="8"/>
  <c r="C11" i="8"/>
  <c r="C12" i="8"/>
  <c r="C13" i="8"/>
  <c r="C14" i="8"/>
  <c r="C15" i="8"/>
  <c r="C8" i="8"/>
  <c r="T5" i="8"/>
  <c r="I14" i="9"/>
  <c r="C46" i="8" s="1"/>
  <c r="H14" i="9"/>
  <c r="E15" i="8"/>
  <c r="C36" i="8"/>
  <c r="E10" i="8"/>
  <c r="E8" i="8"/>
  <c r="E14" i="8"/>
  <c r="E11" i="8"/>
  <c r="B46" i="8"/>
  <c r="C39" i="8"/>
  <c r="E12" i="8"/>
  <c r="E13" i="8"/>
  <c r="E9" i="8"/>
  <c r="C38" i="8"/>
  <c r="C40" i="8"/>
  <c r="C37" i="8"/>
  <c r="E11" i="3"/>
  <c r="C23" i="8"/>
  <c r="E23" i="8" s="1"/>
  <c r="C24" i="8"/>
  <c r="E24" i="8" s="1"/>
  <c r="C25" i="8"/>
  <c r="E25" i="8" s="1"/>
  <c r="C26" i="8"/>
  <c r="E26" i="8" s="1"/>
  <c r="C16" i="8" l="1"/>
  <c r="D11" i="8"/>
  <c r="F11" i="8" s="1"/>
  <c r="G11" i="8" s="1"/>
  <c r="M14" i="1" s="1"/>
  <c r="D8" i="8"/>
  <c r="F8" i="8" s="1"/>
  <c r="G8" i="8" s="1"/>
  <c r="J8" i="1" s="1"/>
  <c r="D9" i="8"/>
  <c r="F9" i="8" s="1"/>
  <c r="G9" i="8" s="1"/>
  <c r="M8" i="1" s="1"/>
  <c r="D12" i="8"/>
  <c r="F12" i="8" s="1"/>
  <c r="G12" i="8" s="1"/>
  <c r="P8" i="1" s="1"/>
  <c r="D15" i="8"/>
  <c r="F15" i="8" s="1"/>
  <c r="G15" i="8" s="1"/>
  <c r="S14" i="1" s="1"/>
  <c r="D13" i="8"/>
  <c r="F13" i="8" s="1"/>
  <c r="G13" i="8" s="1"/>
  <c r="S8" i="1" s="1"/>
  <c r="D10" i="8"/>
  <c r="F10" i="8" s="1"/>
  <c r="G10" i="8" s="1"/>
  <c r="J14" i="1" s="1"/>
  <c r="D14" i="8"/>
  <c r="F14" i="8" s="1"/>
  <c r="G14" i="8" s="1"/>
  <c r="P14" i="1" s="1"/>
  <c r="O5" i="8"/>
  <c r="D36" i="8"/>
  <c r="D40" i="8"/>
  <c r="D38" i="8"/>
  <c r="D39" i="8"/>
  <c r="D37" i="8"/>
  <c r="D46" i="8"/>
  <c r="F6" i="3" l="1"/>
  <c r="F7" i="3"/>
  <c r="F8" i="3"/>
  <c r="F9" i="3"/>
  <c r="F10" i="3"/>
  <c r="F11" i="3"/>
  <c r="F12" i="3"/>
  <c r="D41" i="8"/>
  <c r="D34" i="1" s="1"/>
  <c r="E27" i="8"/>
  <c r="C32" i="1" s="1"/>
  <c r="D33" i="1"/>
  <c r="C49" i="8" l="1"/>
  <c r="E9" i="3"/>
  <c r="E12" i="3"/>
  <c r="E8" i="3"/>
  <c r="E7" i="3"/>
  <c r="E10" i="3"/>
  <c r="E6" i="3"/>
  <c r="I9" i="3" l="1"/>
  <c r="I8" i="3"/>
  <c r="I12" i="3"/>
  <c r="I10" i="3"/>
  <c r="I7" i="3"/>
  <c r="I11" i="3"/>
  <c r="I6" i="3"/>
  <c r="C35" i="1" l="1"/>
  <c r="G7" i="3" l="1"/>
  <c r="H7" i="3" s="1"/>
  <c r="G8" i="3"/>
  <c r="H8" i="3" s="1"/>
  <c r="G10" i="3"/>
  <c r="H10" i="3" s="1"/>
  <c r="G11" i="3"/>
  <c r="H11" i="3" s="1"/>
  <c r="G12" i="3"/>
  <c r="H12" i="3" s="1"/>
  <c r="G6" i="3"/>
  <c r="H6" i="3" s="1"/>
  <c r="G9" i="3"/>
  <c r="H9" i="3" s="1"/>
</calcChain>
</file>

<file path=xl/sharedStrings.xml><?xml version="1.0" encoding="utf-8"?>
<sst xmlns="http://schemas.openxmlformats.org/spreadsheetml/2006/main" count="189" uniqueCount="133">
  <si>
    <t>Readme Controlling Tooling</t>
  </si>
  <si>
    <t>Todos</t>
  </si>
  <si>
    <t>Initial</t>
  </si>
  <si>
    <t>1 malig die notwendigen Werte im Reiter "Projektkonfiguration" pflegen</t>
  </si>
  <si>
    <t>Wiederkehrend (je gewünschter Auswertung)</t>
  </si>
  <si>
    <t>Heimat Export einfügen (siehe Reiter "Heimat Input")</t>
  </si>
  <si>
    <t>Jira Export einfügen (siehe Reiter "Jira Input")</t>
  </si>
  <si>
    <t>Beide Pivots Tabellen aktualisieren</t>
  </si>
  <si>
    <t>Voraussetzungen</t>
  </si>
  <si>
    <t>Die Vorgänge in Heimat müssen den Vorgaben gemäß Blueprint entsprechen ("PM", "AGILE", etc.)</t>
  </si>
  <si>
    <t>Für Stories, die ausschließlich nach Festpreis gegenüber Dienstleister abgerechnet werden, dürfen keine Heimat-Punkte existieren</t>
  </si>
  <si>
    <t>Jede Story, die wir gegenüber Kunde abrechnen, benötigt auch einen eigenen Heimatvorgang</t>
  </si>
  <si>
    <t>Projektcontrolling Dashboard</t>
  </si>
  <si>
    <t>Schätzgrößen Validierung</t>
  </si>
  <si>
    <t>Soll-Ist-Kostenvergleich</t>
  </si>
  <si>
    <t>Für Details auf Story Ebene siehe "Jira Input" Tab</t>
  </si>
  <si>
    <t>Für Details auf Cluster Ebene siehe "Details"</t>
  </si>
  <si>
    <t>Standard-Cluster</t>
  </si>
  <si>
    <t>Optionale-Cluster</t>
  </si>
  <si>
    <t>Delta in %</t>
  </si>
  <si>
    <t>XS</t>
  </si>
  <si>
    <t>S</t>
  </si>
  <si>
    <t>PM</t>
  </si>
  <si>
    <t>AGILE</t>
  </si>
  <si>
    <t>SHORE</t>
  </si>
  <si>
    <t>OPS</t>
  </si>
  <si>
    <t>M</t>
  </si>
  <si>
    <t>L</t>
  </si>
  <si>
    <t>STORY</t>
  </si>
  <si>
    <t>DEFECT</t>
  </si>
  <si>
    <t>TRANS</t>
  </si>
  <si>
    <t>NWK</t>
  </si>
  <si>
    <t>XL</t>
  </si>
  <si>
    <t>Rendite des Auswertungszeitraums</t>
  </si>
  <si>
    <t>Umsatz</t>
  </si>
  <si>
    <t>Kosten</t>
  </si>
  <si>
    <t>nach h</t>
  </si>
  <si>
    <t>nach Festpreis</t>
  </si>
  <si>
    <t>Rendite</t>
  </si>
  <si>
    <r>
      <t xml:space="preserve">Auf dieser Seite musst du als PL alle projektspezifischen Konfigurationen hinterlegen, damit die Auswertungen des Tools korrekt funktionieren. </t>
    </r>
    <r>
      <rPr>
        <b/>
        <sz val="16"/>
        <color theme="1"/>
        <rFont val="Aptos Narrow"/>
        <scheme val="minor"/>
      </rPr>
      <t>WICHTIG</t>
    </r>
    <r>
      <rPr>
        <sz val="16"/>
        <color theme="1"/>
        <rFont val="Aptos Narrow"/>
        <family val="2"/>
        <scheme val="minor"/>
      </rPr>
      <t>: du musst und solltest an keiner anderen Stelle in der Excel etwas ändern.</t>
    </r>
  </si>
  <si>
    <t>Zielrendite</t>
  </si>
  <si>
    <t>Die angestrebte Zielrendite ist immer &gt;25%</t>
  </si>
  <si>
    <t>Vereinbarte T-Shirt Größen</t>
  </si>
  <si>
    <t>Heimat-Kostenstruktur</t>
  </si>
  <si>
    <t>Wie viel Geld bekommen wir für diese Story von unserem Kunden?</t>
  </si>
  <si>
    <t>Wie viel Geld müssen wir für die Umsetzung der Story unseren externen Dienstleistern bezahlen?</t>
  </si>
  <si>
    <r>
      <t xml:space="preserve">Pflege als PL die Verteilung der Betriebsleistung  entsprechend deinem Projekt Staffing. </t>
    </r>
    <r>
      <rPr>
        <b/>
        <sz val="12"/>
        <color rgb="FFFF0000"/>
        <rFont val="Aptos Narrow (Textkörper)"/>
      </rPr>
      <t>Du darfst nur die Kollegen berücksichtigen, die je geleisteter Stunde Kosten für dein Projekt verursachen</t>
    </r>
    <r>
      <rPr>
        <sz val="12"/>
        <color theme="1"/>
        <rFont val="Aptos Narrow"/>
        <family val="2"/>
        <scheme val="minor"/>
      </rPr>
      <t>. Externe, die nach Festpreis über  SP bezahlt werden sind für die interne Schätzvalidierung nicht relevant. Die weitere Berechnung erfolgt dann über den ermittelten Mischstundensatz.</t>
    </r>
  </si>
  <si>
    <t>SP</t>
  </si>
  <si>
    <t>Größe</t>
  </si>
  <si>
    <t>€-Kunde</t>
  </si>
  <si>
    <t>€-DL</t>
  </si>
  <si>
    <t>Anteil Betriebsleistung</t>
  </si>
  <si>
    <t>Stundensätze (ggfs. gemittelt)</t>
  </si>
  <si>
    <t>onshore</t>
  </si>
  <si>
    <t>nearshore</t>
  </si>
  <si>
    <t>offshore</t>
  </si>
  <si>
    <t>intern</t>
  </si>
  <si>
    <t>Selbstkostensatz von doubleSlash</t>
  </si>
  <si>
    <t>Kontrollsumme</t>
  </si>
  <si>
    <t>Mischstundensatz</t>
  </si>
  <si>
    <t>Aufwandsstruktur</t>
  </si>
  <si>
    <t>Pflege als PL die gewünschte SOLL-Verteilung der Aufwände auf die verschiedenen Cluster. Ggfs. sind die SOLL-Werte durch Blueprint bzw. die Projektbeauftragung vorgegeben.</t>
  </si>
  <si>
    <t>Cluster</t>
  </si>
  <si>
    <t>SOLL-Wert
 (%  von Gesamtstunden)</t>
  </si>
  <si>
    <t>Kommentar</t>
  </si>
  <si>
    <t>Projektmanagement (PM)</t>
  </si>
  <si>
    <t>Must-Have Cluster
Richtwerte gemäß Blueprint</t>
  </si>
  <si>
    <t>Agile Overhead (AGILE)</t>
  </si>
  <si>
    <t>Agile Umfänge (STORY)</t>
  </si>
  <si>
    <t>Defects (DEFECT)</t>
  </si>
  <si>
    <t>Shoring Overhead (SHORE)</t>
  </si>
  <si>
    <t>tbd</t>
  </si>
  <si>
    <t>ggfs. separate Beauftragung - nicht immer vorhanden</t>
  </si>
  <si>
    <t>Operations (OPS)</t>
  </si>
  <si>
    <t>Transition (TRANS)</t>
  </si>
  <si>
    <t>Nachwuchskräfte (NWK)</t>
  </si>
  <si>
    <t>(Kontroll)-Summe</t>
  </si>
  <si>
    <t>Hier kannst du verschiedene Details für den Auswertungszeitraum einsehen. Der Auswertungszeitraum ist der Zeitraum, für den du Heimat- und Jira Exports getätigt hast. Du musst in diesem Reiter keine Werte eigenständig anpassen!</t>
  </si>
  <si>
    <t>Rentabilität</t>
  </si>
  <si>
    <t>Hier kannst du als PL einsehen, wie sich die Aufwände auf die verschiedenen Aufwandscluster verteilen und wo es größere Abweichungen zu den Soll-Werten gibt</t>
  </si>
  <si>
    <t>Wie viele Stunden dürfen abhängig von der hinterlegten Zielrendite maximal je SP aufgewendet werden?</t>
  </si>
  <si>
    <t>h/SP</t>
  </si>
  <si>
    <t>Wie viel € bekommen wir als doubleSlash je SP vom Kunden bezahlt?</t>
  </si>
  <si>
    <t>€/SP</t>
  </si>
  <si>
    <t>SOLL-Wert (% von Gesamtstunden)</t>
  </si>
  <si>
    <t>Soll-Wert in Stunden</t>
  </si>
  <si>
    <t>IST-Wert Gesamt</t>
  </si>
  <si>
    <t>Delta in h</t>
  </si>
  <si>
    <t>T-Shirt Size Details</t>
  </si>
  <si>
    <t>Für Details einzelner Stories siehe Reiter "Jira Input"</t>
  </si>
  <si>
    <t>(Kontroll)-Summen</t>
  </si>
  <si>
    <t>Umsatzdetails</t>
  </si>
  <si>
    <t>T-Shirts</t>
  </si>
  <si>
    <t>Anzahl</t>
  </si>
  <si>
    <t>Summe</t>
  </si>
  <si>
    <t>Kostendetails</t>
  </si>
  <si>
    <t>Kosten durch externe DL</t>
  </si>
  <si>
    <t>Zeigt alle Kosten je Auswertungszeitraum für die durch externe DL abgeschlossenen Stories nach Festpreis</t>
  </si>
  <si>
    <t>Kosten durch verbuchte h</t>
  </si>
  <si>
    <t>Gesamtaufwand in h</t>
  </si>
  <si>
    <t>Gesamtkosten</t>
  </si>
  <si>
    <t>Heimat Input</t>
  </si>
  <si>
    <r>
      <rPr>
        <b/>
        <sz val="12"/>
        <color theme="1"/>
        <rFont val="Aptos Narrow"/>
        <scheme val="minor"/>
      </rPr>
      <t>WICHTIG:</t>
    </r>
    <r>
      <rPr>
        <sz val="12"/>
        <color theme="1"/>
        <rFont val="Aptos Narrow"/>
        <family val="2"/>
        <scheme val="minor"/>
      </rPr>
      <t xml:space="preserve"> Muss ggfs. um Zeitnachweise ergänzt werden, die nicht in Heimat verbucht haben!</t>
    </r>
  </si>
  <si>
    <t>Mitarbeiter:in</t>
  </si>
  <si>
    <t>Datum</t>
  </si>
  <si>
    <t>Dauer</t>
  </si>
  <si>
    <t>Projekt</t>
  </si>
  <si>
    <t>Organisationseinheit</t>
  </si>
  <si>
    <t>Vorgang</t>
  </si>
  <si>
    <t>Beschreibung</t>
  </si>
  <si>
    <t>Bitte Pivot Tabelle aktualisieren sofern neue Heimat Daten hinzugekommen sind!</t>
  </si>
  <si>
    <t>Zeilenbeschriftungen</t>
  </si>
  <si>
    <t>Summe von Dauer</t>
  </si>
  <si>
    <t>(Leer)</t>
  </si>
  <si>
    <t>Gesamtergebnis</t>
  </si>
  <si>
    <t>Jira Input</t>
  </si>
  <si>
    <t>Automatische Berechnung/Ermittlung</t>
  </si>
  <si>
    <t>Hier siehst du auf Story Ebene, welche Story über und welche unter Budget bearbeitet wurde. Die Pivot berechnet den durchschnittlichen Verbrauch je T-Shirt Größe.</t>
  </si>
  <si>
    <t>Key</t>
  </si>
  <si>
    <t>Summary</t>
  </si>
  <si>
    <t>Story Points</t>
  </si>
  <si>
    <t>Tshirt Size</t>
  </si>
  <si>
    <t>IST-Wert</t>
  </si>
  <si>
    <t>SOLL-Wert</t>
  </si>
  <si>
    <t>Externe Story</t>
  </si>
  <si>
    <t>Summe von IST-Wert</t>
  </si>
  <si>
    <t>Mittelwert von Delta in %</t>
  </si>
  <si>
    <t>Anzahl von Tshirt Size</t>
  </si>
  <si>
    <t>Bitte Pivot Tabelle aktualisieren sofern neue Jira Daten hinzugekommen sind!</t>
  </si>
  <si>
    <t>ja</t>
  </si>
  <si>
    <t>NWK buchen nur auf NWK-Punkt</t>
  </si>
  <si>
    <t>Betruer buchen review und betreuung auf die Story</t>
  </si>
  <si>
    <t>#NV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</si>
</sst>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dd\.mm\.yyyy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8"/>
      <color theme="1"/>
      <name val="Aptos Narrow"/>
      <scheme val="minor"/>
    </font>
    <font>
      <b/>
      <sz val="20"/>
      <color theme="1"/>
      <name val="Aptos Narrow"/>
      <scheme val="minor"/>
    </font>
    <font>
      <sz val="12"/>
      <color theme="1"/>
      <name val="Aptos Narrow"/>
      <scheme val="minor"/>
    </font>
    <font>
      <b/>
      <sz val="16"/>
      <color theme="1"/>
      <name val="Aptos Narrow (Textkörper)"/>
    </font>
    <font>
      <sz val="12"/>
      <color theme="1"/>
      <name val="Aptos Narrow (Textkörper)"/>
    </font>
    <font>
      <b/>
      <sz val="2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b/>
      <sz val="12"/>
      <color rgb="FFFF0000"/>
      <name val="Aptos Narrow (Textkörper)"/>
    </font>
    <font>
      <sz val="12"/>
      <color theme="1"/>
      <name val="Helvetica"/>
      <family val="2"/>
    </font>
    <font>
      <b/>
      <sz val="28"/>
      <color theme="1"/>
      <name val="Aptos Narrow"/>
      <scheme val="minor"/>
    </font>
    <font>
      <b/>
      <sz val="18"/>
      <color theme="1"/>
      <name val="Aptos Narrow (Textkörper)"/>
    </font>
    <font>
      <u/>
      <sz val="16"/>
      <color theme="1"/>
      <name val="Aptos Narrow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  <xf numFmtId="0" fontId="20" fillId="0" borderId="0"/>
  </cellStyleXfs>
  <cellXfs count="171">
    <xf numFmtId="0" fontId="0" fillId="0" borderId="0" xfId="0"/>
    <xf numFmtId="44" fontId="0" fillId="0" borderId="0" xfId="1" applyFont="1"/>
    <xf numFmtId="9" fontId="0" fillId="0" borderId="0" xfId="2" applyFont="1"/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4" fillId="2" borderId="0" xfId="0" applyFont="1" applyFill="1"/>
    <xf numFmtId="2" fontId="0" fillId="2" borderId="0" xfId="0" applyNumberFormat="1" applyFill="1"/>
    <xf numFmtId="0" fontId="3" fillId="0" borderId="0" xfId="0" applyFont="1"/>
    <xf numFmtId="2" fontId="0" fillId="0" borderId="0" xfId="0" applyNumberFormat="1"/>
    <xf numFmtId="9" fontId="0" fillId="2" borderId="0" xfId="2" applyFont="1" applyFill="1"/>
    <xf numFmtId="0" fontId="0" fillId="3" borderId="0" xfId="0" applyFill="1"/>
    <xf numFmtId="0" fontId="4" fillId="3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164" fontId="0" fillId="3" borderId="0" xfId="0" applyNumberFormat="1" applyFill="1"/>
    <xf numFmtId="14" fontId="0" fillId="0" borderId="0" xfId="0" applyNumberFormat="1"/>
    <xf numFmtId="0" fontId="7" fillId="0" borderId="0" xfId="0" applyFont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10" fontId="0" fillId="0" borderId="0" xfId="2" applyNumberFormat="1" applyFont="1" applyBorder="1"/>
    <xf numFmtId="10" fontId="0" fillId="0" borderId="5" xfId="2" applyNumberFormat="1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3" borderId="0" xfId="2" applyFont="1" applyFill="1" applyBorder="1"/>
    <xf numFmtId="44" fontId="0" fillId="3" borderId="0" xfId="1" applyFont="1" applyFill="1" applyBorder="1"/>
    <xf numFmtId="0" fontId="4" fillId="0" borderId="1" xfId="0" applyFont="1" applyBorder="1"/>
    <xf numFmtId="9" fontId="0" fillId="0" borderId="5" xfId="0" applyNumberFormat="1" applyBorder="1"/>
    <xf numFmtId="0" fontId="0" fillId="0" borderId="0" xfId="0" applyAlignment="1">
      <alignment horizontal="left" indent="1"/>
    </xf>
    <xf numFmtId="0" fontId="13" fillId="0" borderId="9" xfId="0" applyFont="1" applyBorder="1"/>
    <xf numFmtId="9" fontId="4" fillId="3" borderId="10" xfId="0" applyNumberFormat="1" applyFont="1" applyFill="1" applyBorder="1"/>
    <xf numFmtId="0" fontId="0" fillId="0" borderId="11" xfId="0" applyBorder="1"/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3" borderId="4" xfId="0" applyFill="1" applyBorder="1"/>
    <xf numFmtId="44" fontId="0" fillId="3" borderId="5" xfId="1" applyFont="1" applyFill="1" applyBorder="1"/>
    <xf numFmtId="0" fontId="0" fillId="3" borderId="6" xfId="0" applyFill="1" applyBorder="1"/>
    <xf numFmtId="0" fontId="0" fillId="3" borderId="7" xfId="0" applyFill="1" applyBorder="1"/>
    <xf numFmtId="44" fontId="0" fillId="3" borderId="7" xfId="1" applyFont="1" applyFill="1" applyBorder="1"/>
    <xf numFmtId="44" fontId="0" fillId="3" borderId="8" xfId="1" applyFont="1" applyFill="1" applyBorder="1"/>
    <xf numFmtId="0" fontId="13" fillId="0" borderId="1" xfId="0" applyFont="1" applyBorder="1"/>
    <xf numFmtId="0" fontId="4" fillId="0" borderId="0" xfId="0" applyFont="1" applyAlignment="1">
      <alignment horizontal="center" vertical="center" wrapText="1"/>
    </xf>
    <xf numFmtId="9" fontId="0" fillId="0" borderId="7" xfId="0" applyNumberFormat="1" applyBorder="1"/>
    <xf numFmtId="44" fontId="0" fillId="2" borderId="7" xfId="0" applyNumberFormat="1" applyFill="1" applyBorder="1"/>
    <xf numFmtId="0" fontId="0" fillId="0" borderId="0" xfId="0" applyAlignment="1">
      <alignment horizontal="center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44" fontId="0" fillId="0" borderId="7" xfId="0" applyNumberFormat="1" applyBorder="1"/>
    <xf numFmtId="0" fontId="13" fillId="5" borderId="1" xfId="0" applyFont="1" applyFill="1" applyBorder="1"/>
    <xf numFmtId="0" fontId="0" fillId="5" borderId="2" xfId="0" applyFill="1" applyBorder="1"/>
    <xf numFmtId="0" fontId="0" fillId="5" borderId="3" xfId="0" applyFill="1" applyBorder="1"/>
    <xf numFmtId="0" fontId="13" fillId="0" borderId="4" xfId="0" applyFont="1" applyBorder="1"/>
    <xf numFmtId="0" fontId="4" fillId="0" borderId="0" xfId="0" applyFont="1" applyAlignment="1">
      <alignment wrapText="1"/>
    </xf>
    <xf numFmtId="9" fontId="0" fillId="0" borderId="0" xfId="0" applyNumberFormat="1"/>
    <xf numFmtId="9" fontId="0" fillId="0" borderId="5" xfId="2" applyFont="1" applyBorder="1"/>
    <xf numFmtId="0" fontId="4" fillId="0" borderId="7" xfId="0" applyFont="1" applyBorder="1"/>
    <xf numFmtId="0" fontId="0" fillId="0" borderId="0" xfId="0" applyAlignment="1">
      <alignment horizontal="right"/>
    </xf>
    <xf numFmtId="0" fontId="8" fillId="0" borderId="4" xfId="0" applyFont="1" applyBorder="1"/>
    <xf numFmtId="9" fontId="0" fillId="3" borderId="5" xfId="2" applyFont="1" applyFill="1" applyBorder="1" applyAlignment="1"/>
    <xf numFmtId="2" fontId="5" fillId="0" borderId="0" xfId="0" applyNumberFormat="1" applyFont="1"/>
    <xf numFmtId="0" fontId="4" fillId="0" borderId="5" xfId="0" applyFont="1" applyBorder="1" applyAlignment="1">
      <alignment wrapText="1"/>
    </xf>
    <xf numFmtId="9" fontId="0" fillId="0" borderId="8" xfId="2" applyFont="1" applyBorder="1" applyAlignment="1"/>
    <xf numFmtId="9" fontId="8" fillId="0" borderId="0" xfId="2" applyFont="1" applyBorder="1" applyAlignment="1">
      <alignment wrapText="1"/>
    </xf>
    <xf numFmtId="0" fontId="0" fillId="0" borderId="0" xfId="0" applyAlignment="1">
      <alignment horizontal="center" vertical="center"/>
    </xf>
    <xf numFmtId="0" fontId="10" fillId="0" borderId="4" xfId="0" applyFont="1" applyBorder="1"/>
    <xf numFmtId="0" fontId="6" fillId="0" borderId="4" xfId="0" applyFont="1" applyBorder="1"/>
    <xf numFmtId="0" fontId="16" fillId="0" borderId="0" xfId="0" applyFont="1" applyAlignment="1">
      <alignment vertical="center"/>
    </xf>
    <xf numFmtId="0" fontId="12" fillId="0" borderId="1" xfId="0" applyFont="1" applyBorder="1"/>
    <xf numFmtId="0" fontId="12" fillId="0" borderId="2" xfId="0" applyFont="1" applyBorder="1"/>
    <xf numFmtId="0" fontId="16" fillId="0" borderId="4" xfId="0" applyFont="1" applyBorder="1" applyAlignment="1">
      <alignment vertical="center"/>
    </xf>
    <xf numFmtId="0" fontId="4" fillId="0" borderId="6" xfId="0" applyFont="1" applyBorder="1" applyAlignment="1">
      <alignment horizontal="center"/>
    </xf>
    <xf numFmtId="0" fontId="7" fillId="0" borderId="1" xfId="0" applyFont="1" applyBorder="1"/>
    <xf numFmtId="0" fontId="18" fillId="0" borderId="4" xfId="0" applyFont="1" applyBorder="1"/>
    <xf numFmtId="44" fontId="0" fillId="0" borderId="5" xfId="1" applyFont="1" applyBorder="1"/>
    <xf numFmtId="44" fontId="12" fillId="0" borderId="8" xfId="1" applyFont="1" applyBorder="1"/>
    <xf numFmtId="0" fontId="20" fillId="0" borderId="0" xfId="4"/>
    <xf numFmtId="0" fontId="19" fillId="0" borderId="0" xfId="3"/>
    <xf numFmtId="9" fontId="0" fillId="0" borderId="0" xfId="2" applyFont="1" applyFill="1"/>
    <xf numFmtId="164" fontId="0" fillId="0" borderId="0" xfId="0" applyNumberFormat="1"/>
    <xf numFmtId="9" fontId="5" fillId="0" borderId="0" xfId="0" applyNumberFormat="1" applyFont="1"/>
    <xf numFmtId="0" fontId="2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9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4" fontId="0" fillId="0" borderId="0" xfId="0" applyNumberFormat="1" applyAlignment="1">
      <alignment horizontal="center"/>
    </xf>
    <xf numFmtId="44" fontId="0" fillId="0" borderId="5" xfId="0" applyNumberFormat="1" applyBorder="1" applyAlignment="1">
      <alignment horizontal="center"/>
    </xf>
    <xf numFmtId="9" fontId="11" fillId="0" borderId="7" xfId="2" applyFont="1" applyBorder="1" applyAlignment="1">
      <alignment horizontal="center"/>
    </xf>
    <xf numFmtId="9" fontId="11" fillId="0" borderId="8" xfId="2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/>
    </xf>
    <xf numFmtId="0" fontId="6" fillId="5" borderId="2" xfId="0" applyFont="1" applyFill="1" applyBorder="1" applyAlignment="1">
      <alignment horizontal="left" vertical="top"/>
    </xf>
    <xf numFmtId="0" fontId="6" fillId="5" borderId="3" xfId="0" applyFont="1" applyFill="1" applyBorder="1" applyAlignment="1">
      <alignment horizontal="left" vertical="top"/>
    </xf>
    <xf numFmtId="0" fontId="17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9" fontId="0" fillId="3" borderId="0" xfId="2" applyFont="1" applyFill="1" applyBorder="1" applyAlignment="1">
      <alignment horizontal="center"/>
    </xf>
    <xf numFmtId="9" fontId="0" fillId="0" borderId="7" xfId="2" applyFont="1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9" fontId="0" fillId="3" borderId="5" xfId="2" applyFont="1" applyFill="1" applyBorder="1" applyAlignment="1">
      <alignment horizontal="center" vertical="center" wrapText="1"/>
    </xf>
    <xf numFmtId="9" fontId="0" fillId="3" borderId="5" xfId="2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44" fontId="15" fillId="0" borderId="0" xfId="1" applyFont="1" applyAlignment="1">
      <alignment horizontal="center"/>
    </xf>
    <xf numFmtId="44" fontId="15" fillId="0" borderId="5" xfId="1" applyFont="1" applyBorder="1" applyAlignment="1">
      <alignment horizontal="center"/>
    </xf>
    <xf numFmtId="0" fontId="0" fillId="0" borderId="8" xfId="0" applyBorder="1" applyAlignment="1">
      <alignment horizontal="center"/>
    </xf>
    <xf numFmtId="44" fontId="12" fillId="0" borderId="10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3" fillId="5" borderId="1" xfId="0" applyFont="1" applyFill="1" applyBorder="1" applyAlignment="1">
      <alignment horizontal="left"/>
    </xf>
    <xf numFmtId="0" fontId="13" fillId="5" borderId="2" xfId="0" applyFont="1" applyFill="1" applyBorder="1" applyAlignment="1">
      <alignment horizontal="left"/>
    </xf>
    <xf numFmtId="0" fontId="13" fillId="5" borderId="3" xfId="0" applyFont="1" applyFill="1" applyBorder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44" fontId="12" fillId="0" borderId="7" xfId="1" applyFont="1" applyBorder="1" applyAlignment="1">
      <alignment horizontal="center"/>
    </xf>
    <xf numFmtId="44" fontId="12" fillId="0" borderId="8" xfId="1" applyFont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NumberFormat="1"/>
  </cellXfs>
  <cellStyles count="5">
    <cellStyle name="Link" xfId="4" builtinId="8"/>
    <cellStyle name="Prozent" xfId="2" builtinId="5"/>
    <cellStyle name="Standard" xfId="0" builtinId="0"/>
    <cellStyle name="Standard 2" xfId="3" xr:uid="{4943F2E6-BB73-462E-967A-2395764862BA}"/>
    <cellStyle name="Währung" xfId="1" builtinId="4"/>
  </cellStyles>
  <dxfs count="3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 Reimann" refreshedDate="46070.549250231481" createdVersion="8" refreshedVersion="8" minRefreshableVersion="3" recordCount="152" xr:uid="{4B64DC0D-0CD3-E148-B4DF-83DCFD09A8FF}">
  <cacheSource type="worksheet">
    <worksheetSource ref="A4:G10002" sheet="Heimat Input"/>
  </cacheSource>
  <cacheFields count="7">
    <cacheField name="Mitarbeiter:in" numFmtId="0">
      <sharedItems containsNonDate="0" containsString="0" containsBlank="1"/>
    </cacheField>
    <cacheField name="Datum" numFmtId="0">
      <sharedItems containsNonDate="0" containsString="0" containsBlank="1"/>
    </cacheField>
    <cacheField name="Dauer" numFmtId="0">
      <sharedItems containsNonDate="0" containsString="0" containsBlank="1"/>
    </cacheField>
    <cacheField name="Projekt" numFmtId="0">
      <sharedItems containsNonDate="0" containsString="0" containsBlank="1"/>
    </cacheField>
    <cacheField name="Organisationseinheit" numFmtId="0">
      <sharedItems containsNonDate="0" containsString="0" containsBlank="1"/>
    </cacheField>
    <cacheField name="Vorgang" numFmtId="0">
      <sharedItems containsNonDate="0" containsBlank="1" count="28">
        <m/>
        <s v="ECORE-889" u="1"/>
        <s v="ECORE-862" u="1"/>
        <s v="ECORE-779" u="1"/>
        <s v="ECORE-777" u="1"/>
        <s v="ECORE-640" u="1"/>
        <s v="Agile" u="1"/>
        <s v="Nearshore Support" u="1"/>
        <s v="Story 6" u="1"/>
        <s v="Story 4" u="1"/>
        <s v="Story 3" u="1"/>
        <s v="Story 5" u="1"/>
        <s v="Story 1" u="1"/>
        <s v="Story 2" u="1"/>
        <s v="Story 7" u="1"/>
        <s v="Story 22" u="1"/>
        <s v="Story 12" u="1"/>
        <s v="Story 45" u="1"/>
        <s v="Story 9" u="1"/>
        <s v="DEFECT" u="1"/>
        <s v="PM" u="1"/>
        <s v="Story 55" u="1"/>
        <s v="SHORE" u="1"/>
        <s v="TRANS" u="1"/>
        <s v="Scrum" u="1"/>
        <s v="Operations" u="1"/>
        <s v="QS / Testing" u="1"/>
        <s v="Ops" u="1"/>
      </sharedItems>
    </cacheField>
    <cacheField name="Beschreibung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mon Reimann" refreshedDate="46070.549250231481" createdVersion="8" refreshedVersion="8" minRefreshableVersion="3" recordCount="18" xr:uid="{628474B7-5F06-D144-AF72-D45BD66A8261}">
  <cacheSource type="worksheet">
    <worksheetSource ref="A5:I10003" sheet="Jira Input"/>
  </cacheSource>
  <cacheFields count="9">
    <cacheField name="Key" numFmtId="0">
      <sharedItems containsNonDate="0" containsString="0" containsBlank="1"/>
    </cacheField>
    <cacheField name="Summary" numFmtId="0">
      <sharedItems containsNonDate="0" containsString="0" containsBlank="1"/>
    </cacheField>
    <cacheField name="Story Points" numFmtId="0">
      <sharedItems containsNonDate="0" containsString="0" containsBlank="1"/>
    </cacheField>
    <cacheField name="Tshirt Size" numFmtId="0">
      <sharedItems containsBlank="1" count="8">
        <e v="#N/A"/>
        <m/>
        <s v="L" u="1"/>
        <s v="XL" u="1"/>
        <s v="M" u="1"/>
        <s v="XS" u="1"/>
        <s v="S" u="1"/>
        <e v="#REF!" u="1"/>
      </sharedItems>
    </cacheField>
    <cacheField name="IST-Wert" numFmtId="0">
      <sharedItems containsBlank="1"/>
    </cacheField>
    <cacheField name="SOLL-Wert" numFmtId="0">
      <sharedItems containsString="0" containsBlank="1" containsNumber="1" containsInteger="1" minValue="0" maxValue="0"/>
    </cacheField>
    <cacheField name="Delta in h" numFmtId="0">
      <sharedItems containsBlank="1"/>
    </cacheField>
    <cacheField name="Delta in %" numFmtId="0">
      <sharedItems containsBlank="1"/>
    </cacheField>
    <cacheField name="Externe Story" numFmtId="0">
      <sharedItems containsBlank="1" count="3">
        <s v="ja"/>
        <m/>
        <s v="nei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"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  <r>
    <m/>
    <m/>
    <m/>
    <m/>
    <m/>
    <x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m/>
    <m/>
    <m/>
    <x v="0"/>
    <s v="n.a."/>
    <n v="0"/>
    <s v="n.a."/>
    <s v="n.a."/>
    <x v="0"/>
  </r>
  <r>
    <m/>
    <m/>
    <m/>
    <x v="0"/>
    <s v="n.a."/>
    <n v="0"/>
    <s v="n.a."/>
    <s v="n.a."/>
    <x v="0"/>
  </r>
  <r>
    <m/>
    <m/>
    <m/>
    <x v="0"/>
    <s v="n.a."/>
    <n v="0"/>
    <s v="n.a."/>
    <s v="n.a."/>
    <x v="0"/>
  </r>
  <r>
    <m/>
    <m/>
    <m/>
    <x v="0"/>
    <s v="n.a."/>
    <n v="0"/>
    <s v="n.a."/>
    <s v="n.a."/>
    <x v="0"/>
  </r>
  <r>
    <m/>
    <m/>
    <m/>
    <x v="0"/>
    <s v="n.a."/>
    <n v="0"/>
    <s v="n.a."/>
    <s v="n.a."/>
    <x v="0"/>
  </r>
  <r>
    <m/>
    <m/>
    <m/>
    <x v="0"/>
    <s v="n.a."/>
    <n v="0"/>
    <s v="n.a."/>
    <s v="n.a."/>
    <x v="0"/>
  </r>
  <r>
    <m/>
    <m/>
    <m/>
    <x v="0"/>
    <s v="n.a."/>
    <n v="0"/>
    <s v="n.a."/>
    <s v="n.a."/>
    <x v="0"/>
  </r>
  <r>
    <m/>
    <m/>
    <m/>
    <x v="1"/>
    <m/>
    <m/>
    <m/>
    <m/>
    <x v="1"/>
  </r>
  <r>
    <m/>
    <m/>
    <m/>
    <x v="1"/>
    <m/>
    <m/>
    <m/>
    <m/>
    <x v="1"/>
  </r>
  <r>
    <m/>
    <m/>
    <m/>
    <x v="1"/>
    <m/>
    <m/>
    <m/>
    <m/>
    <x v="1"/>
  </r>
  <r>
    <m/>
    <m/>
    <m/>
    <x v="1"/>
    <m/>
    <m/>
    <m/>
    <m/>
    <x v="1"/>
  </r>
  <r>
    <m/>
    <m/>
    <m/>
    <x v="1"/>
    <m/>
    <m/>
    <m/>
    <m/>
    <x v="1"/>
  </r>
  <r>
    <m/>
    <m/>
    <m/>
    <x v="1"/>
    <m/>
    <m/>
    <m/>
    <m/>
    <x v="1"/>
  </r>
  <r>
    <m/>
    <m/>
    <m/>
    <x v="1"/>
    <m/>
    <m/>
    <m/>
    <m/>
    <x v="1"/>
  </r>
  <r>
    <m/>
    <m/>
    <m/>
    <x v="1"/>
    <m/>
    <m/>
    <m/>
    <m/>
    <x v="1"/>
  </r>
  <r>
    <m/>
    <m/>
    <m/>
    <x v="1"/>
    <m/>
    <m/>
    <m/>
    <m/>
    <x v="1"/>
  </r>
  <r>
    <m/>
    <m/>
    <m/>
    <x v="1"/>
    <m/>
    <m/>
    <m/>
    <m/>
    <x v="1"/>
  </r>
  <r>
    <m/>
    <m/>
    <m/>
    <x v="1"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26D0F-7296-E948-83C1-9698002CE369}" name="PivotTable5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V12:W14" firstHeaderRow="1" firstDataRow="1" firstDataCol="1"/>
  <pivotFields count="7">
    <pivotField showAll="0"/>
    <pivotField showAll="0"/>
    <pivotField dataField="1" showAll="0"/>
    <pivotField showAll="0"/>
    <pivotField showAll="0"/>
    <pivotField axis="axisRow" showAll="0">
      <items count="29">
        <item m="1" x="12"/>
        <item m="1" x="16"/>
        <item m="1" x="13"/>
        <item m="1" x="15"/>
        <item m="1" x="10"/>
        <item m="1" x="9"/>
        <item m="1" x="17"/>
        <item m="1" x="11"/>
        <item m="1" x="8"/>
        <item m="1" x="14"/>
        <item m="1" x="18"/>
        <item x="0"/>
        <item m="1" x="24"/>
        <item m="1" x="27"/>
        <item m="1" x="25"/>
        <item m="1" x="26"/>
        <item m="1" x="21"/>
        <item m="1" x="6"/>
        <item m="1" x="19"/>
        <item m="1" x="20"/>
        <item m="1" x="22"/>
        <item m="1" x="23"/>
        <item m="1" x="1"/>
        <item m="1" x="2"/>
        <item m="1" x="3"/>
        <item m="1" x="4"/>
        <item m="1" x="5"/>
        <item m="1" x="7"/>
        <item t="default"/>
      </items>
    </pivotField>
    <pivotField showAll="0"/>
  </pivotFields>
  <rowFields count="1">
    <field x="5"/>
  </rowFields>
  <rowItems count="2">
    <i>
      <x v="11"/>
    </i>
    <i t="grand">
      <x/>
    </i>
  </rowItems>
  <colItems count="1">
    <i/>
  </colItems>
  <dataFields count="1">
    <dataField name="Summe von Dauer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7D1D2C-A7A4-B84B-A34E-7E13486D58CA}" name="PivotTable6" cacheId="1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K5:N10" firstHeaderRow="0" firstDataRow="1" firstDataCol="1"/>
  <pivotFields count="9">
    <pivotField showAll="0"/>
    <pivotField showAll="0"/>
    <pivotField showAll="0"/>
    <pivotField axis="axisRow" dataField="1" showAll="0">
      <items count="9">
        <item m="1" x="2"/>
        <item m="1" x="4"/>
        <item m="1" x="6"/>
        <item m="1" x="5"/>
        <item x="1"/>
        <item m="1" x="3"/>
        <item m="1" x="7"/>
        <item x="0"/>
        <item t="default"/>
      </items>
    </pivotField>
    <pivotField dataField="1" showAll="0"/>
    <pivotField showAll="0"/>
    <pivotField showAll="0"/>
    <pivotField dataField="1" showAll="0"/>
    <pivotField axis="axisRow" showAll="0">
      <items count="4">
        <item x="0"/>
        <item m="1" x="2"/>
        <item x="1"/>
        <item t="default"/>
      </items>
    </pivotField>
  </pivotFields>
  <rowFields count="2">
    <field x="3"/>
    <field x="8"/>
  </rowFields>
  <rowItems count="5">
    <i>
      <x v="4"/>
    </i>
    <i r="1">
      <x v="2"/>
    </i>
    <i>
      <x v="7"/>
    </i>
    <i r="1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me von IST-Wert" fld="4" baseField="0" baseItem="0"/>
    <dataField name="Mittelwert von Delta in %" fld="7" subtotal="average" baseField="0" baseItem="0"/>
    <dataField name="Anzahl von Tshirt Siz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4DC6-B858-E84B-9EF0-8AC74C498B37}">
  <dimension ref="A1:J26"/>
  <sheetViews>
    <sheetView tabSelected="1" workbookViewId="0">
      <selection activeCell="K6" sqref="K6"/>
    </sheetView>
  </sheetViews>
  <sheetFormatPr baseColWidth="10" defaultColWidth="11" defaultRowHeight="16" x14ac:dyDescent="0.2"/>
  <sheetData>
    <row r="1" spans="1:10" ht="27" x14ac:dyDescent="0.35">
      <c r="A1" s="18" t="s">
        <v>0</v>
      </c>
    </row>
    <row r="3" spans="1:10" ht="17" thickBot="1" x14ac:dyDescent="0.25"/>
    <row r="4" spans="1:10" ht="27" x14ac:dyDescent="0.35">
      <c r="A4" s="82" t="s">
        <v>1</v>
      </c>
      <c r="B4" s="20"/>
      <c r="C4" s="20"/>
      <c r="D4" s="20"/>
      <c r="E4" s="20"/>
      <c r="F4" s="20"/>
      <c r="G4" s="21"/>
    </row>
    <row r="5" spans="1:10" ht="22" x14ac:dyDescent="0.3">
      <c r="A5" s="83" t="s">
        <v>2</v>
      </c>
      <c r="G5" s="27"/>
    </row>
    <row r="6" spans="1:10" x14ac:dyDescent="0.2">
      <c r="A6" s="22" t="s">
        <v>3</v>
      </c>
      <c r="G6" s="27"/>
    </row>
    <row r="7" spans="1:10" x14ac:dyDescent="0.2">
      <c r="A7" s="22"/>
      <c r="G7" s="27"/>
    </row>
    <row r="8" spans="1:10" x14ac:dyDescent="0.2">
      <c r="A8" s="22"/>
      <c r="G8" s="27"/>
    </row>
    <row r="9" spans="1:10" ht="22" x14ac:dyDescent="0.3">
      <c r="A9" s="83" t="s">
        <v>4</v>
      </c>
      <c r="G9" s="27"/>
    </row>
    <row r="10" spans="1:10" x14ac:dyDescent="0.2">
      <c r="A10" s="22" t="s">
        <v>5</v>
      </c>
      <c r="G10" s="27"/>
    </row>
    <row r="11" spans="1:10" x14ac:dyDescent="0.2">
      <c r="A11" s="22" t="s">
        <v>6</v>
      </c>
      <c r="G11" s="27"/>
    </row>
    <row r="12" spans="1:10" ht="17" thickBot="1" x14ac:dyDescent="0.25">
      <c r="A12" s="28" t="s">
        <v>7</v>
      </c>
      <c r="B12" s="29"/>
      <c r="C12" s="66"/>
      <c r="D12" s="29"/>
      <c r="E12" s="29"/>
      <c r="F12" s="29"/>
      <c r="G12" s="30"/>
    </row>
    <row r="15" spans="1:10" ht="17" thickBot="1" x14ac:dyDescent="0.25"/>
    <row r="16" spans="1:10" ht="27" x14ac:dyDescent="0.35">
      <c r="A16" s="82" t="s">
        <v>8</v>
      </c>
      <c r="B16" s="20"/>
      <c r="C16" s="20"/>
      <c r="D16" s="20"/>
      <c r="E16" s="20"/>
      <c r="F16" s="20"/>
      <c r="G16" s="20"/>
      <c r="H16" s="20"/>
      <c r="I16" s="20"/>
      <c r="J16" s="21"/>
    </row>
    <row r="17" spans="1:10" x14ac:dyDescent="0.2">
      <c r="A17" s="22" t="s">
        <v>9</v>
      </c>
      <c r="J17" s="27"/>
    </row>
    <row r="18" spans="1:10" x14ac:dyDescent="0.2">
      <c r="A18" s="22" t="s">
        <v>10</v>
      </c>
      <c r="J18" s="27"/>
    </row>
    <row r="19" spans="1:10" x14ac:dyDescent="0.2">
      <c r="A19" s="22" t="s">
        <v>11</v>
      </c>
      <c r="J19" s="27"/>
    </row>
    <row r="20" spans="1:10" x14ac:dyDescent="0.2">
      <c r="A20" s="22"/>
      <c r="J20" s="27"/>
    </row>
    <row r="21" spans="1:10" x14ac:dyDescent="0.2">
      <c r="A21" s="22"/>
      <c r="J21" s="27"/>
    </row>
    <row r="22" spans="1:10" x14ac:dyDescent="0.2">
      <c r="A22" s="22"/>
      <c r="J22" s="27"/>
    </row>
    <row r="23" spans="1:10" x14ac:dyDescent="0.2">
      <c r="A23" s="22"/>
      <c r="J23" s="27"/>
    </row>
    <row r="24" spans="1:10" x14ac:dyDescent="0.2">
      <c r="A24" s="22"/>
      <c r="J24" s="27"/>
    </row>
    <row r="25" spans="1:10" x14ac:dyDescent="0.2">
      <c r="A25" s="22"/>
      <c r="J25" s="27"/>
    </row>
    <row r="26" spans="1:10" ht="17" thickBot="1" x14ac:dyDescent="0.25">
      <c r="A26" s="28"/>
      <c r="B26" s="29"/>
      <c r="C26" s="29"/>
      <c r="D26" s="29"/>
      <c r="E26" s="29"/>
      <c r="F26" s="29"/>
      <c r="G26" s="29"/>
      <c r="H26" s="29"/>
      <c r="I26" s="29"/>
      <c r="J26" s="30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B159-BB49-0547-8DB4-962D1CF12470}">
  <sheetPr>
    <tabColor rgb="FF92D050"/>
  </sheetPr>
  <dimension ref="B1:S35"/>
  <sheetViews>
    <sheetView workbookViewId="0">
      <selection activeCell="K33" sqref="K33"/>
    </sheetView>
  </sheetViews>
  <sheetFormatPr baseColWidth="10" defaultColWidth="11" defaultRowHeight="16" x14ac:dyDescent="0.2"/>
  <cols>
    <col min="2" max="2" width="11.6640625" bestFit="1" customWidth="1"/>
    <col min="3" max="3" width="11.83203125" customWidth="1"/>
    <col min="4" max="4" width="11.83203125" bestFit="1" customWidth="1"/>
    <col min="5" max="5" width="11.6640625" bestFit="1" customWidth="1"/>
    <col min="9" max="9" width="10.5" customWidth="1"/>
    <col min="11" max="11" width="12.33203125" bestFit="1" customWidth="1"/>
    <col min="14" max="14" width="10.5" customWidth="1"/>
    <col min="18" max="18" width="11.83203125" bestFit="1" customWidth="1"/>
  </cols>
  <sheetData>
    <row r="1" spans="2:19" ht="27" x14ac:dyDescent="0.35">
      <c r="B1" s="18" t="s">
        <v>12</v>
      </c>
    </row>
    <row r="3" spans="2:19" ht="17" thickBot="1" x14ac:dyDescent="0.25"/>
    <row r="4" spans="2:19" ht="24" x14ac:dyDescent="0.2">
      <c r="B4" s="103" t="s">
        <v>13</v>
      </c>
      <c r="C4" s="104"/>
      <c r="D4" s="104"/>
      <c r="E4" s="104"/>
      <c r="F4" s="105"/>
      <c r="I4" s="103" t="s">
        <v>14</v>
      </c>
      <c r="J4" s="104"/>
      <c r="K4" s="104"/>
      <c r="L4" s="104"/>
      <c r="M4" s="104"/>
      <c r="N4" s="104"/>
      <c r="O4" s="104"/>
      <c r="P4" s="104"/>
      <c r="Q4" s="104"/>
      <c r="R4" s="104"/>
      <c r="S4" s="105"/>
    </row>
    <row r="5" spans="2:19" ht="17" thickBot="1" x14ac:dyDescent="0.25">
      <c r="B5" s="75" t="s">
        <v>15</v>
      </c>
      <c r="F5" s="27"/>
      <c r="I5" s="75" t="s">
        <v>16</v>
      </c>
      <c r="S5" s="27"/>
    </row>
    <row r="6" spans="2:19" ht="24" x14ac:dyDescent="0.3">
      <c r="B6" s="76"/>
      <c r="F6" s="27"/>
      <c r="I6" s="78" t="s">
        <v>17</v>
      </c>
      <c r="J6" s="20"/>
      <c r="K6" s="20"/>
      <c r="L6" s="20"/>
      <c r="M6" s="21"/>
      <c r="O6" s="78" t="s">
        <v>18</v>
      </c>
      <c r="P6" s="20"/>
      <c r="Q6" s="79"/>
      <c r="R6" s="20"/>
      <c r="S6" s="21"/>
    </row>
    <row r="7" spans="2:19" x14ac:dyDescent="0.2">
      <c r="B7" s="22"/>
      <c r="F7" s="27"/>
      <c r="I7" s="55"/>
      <c r="M7" s="27"/>
      <c r="O7" s="22"/>
      <c r="S7" s="27"/>
    </row>
    <row r="8" spans="2:19" ht="17" thickBot="1" x14ac:dyDescent="0.25">
      <c r="B8" s="22" t="s">
        <v>19</v>
      </c>
      <c r="C8" s="23" t="str">
        <f>IFERROR(GETPIVOTDATA("Delta in %",'Jira Input'!$K$5,"Tshirt Size",B9),"-")</f>
        <v>-</v>
      </c>
      <c r="E8" t="s">
        <v>19</v>
      </c>
      <c r="F8" s="24" t="str">
        <f>IFERROR(GETPIVOTDATA("Delta in %",'Jira Input'!$K$5,"Tshirt Size",E9),"-")</f>
        <v>-</v>
      </c>
      <c r="I8" s="22" t="s">
        <v>19</v>
      </c>
      <c r="J8" s="64" t="str">
        <f>Details!G8</f>
        <v>-</v>
      </c>
      <c r="L8" t="s">
        <v>19</v>
      </c>
      <c r="M8" s="34" t="str">
        <f>Details!G9</f>
        <v>-</v>
      </c>
      <c r="O8" s="22" t="s">
        <v>19</v>
      </c>
      <c r="P8" s="64" t="str">
        <f>Details!G12</f>
        <v>-</v>
      </c>
      <c r="R8" t="s">
        <v>19</v>
      </c>
      <c r="S8" s="34" t="str">
        <f>Details!G13</f>
        <v>-</v>
      </c>
    </row>
    <row r="9" spans="2:19" ht="16" customHeight="1" x14ac:dyDescent="0.2">
      <c r="B9" s="124" t="s">
        <v>20</v>
      </c>
      <c r="C9" s="125"/>
      <c r="E9" s="112" t="s">
        <v>21</v>
      </c>
      <c r="F9" s="113"/>
      <c r="I9" s="118" t="s">
        <v>22</v>
      </c>
      <c r="J9" s="119"/>
      <c r="L9" s="106" t="s">
        <v>23</v>
      </c>
      <c r="M9" s="107"/>
      <c r="O9" s="106" t="s">
        <v>24</v>
      </c>
      <c r="P9" s="107"/>
      <c r="R9" s="106" t="s">
        <v>25</v>
      </c>
      <c r="S9" s="107"/>
    </row>
    <row r="10" spans="2:19" ht="16" customHeight="1" x14ac:dyDescent="0.2">
      <c r="B10" s="126"/>
      <c r="C10" s="127"/>
      <c r="E10" s="114"/>
      <c r="F10" s="115"/>
      <c r="I10" s="120"/>
      <c r="J10" s="121"/>
      <c r="L10" s="108"/>
      <c r="M10" s="109"/>
      <c r="O10" s="108"/>
      <c r="P10" s="109"/>
      <c r="R10" s="108"/>
      <c r="S10" s="109"/>
    </row>
    <row r="11" spans="2:19" ht="16" customHeight="1" x14ac:dyDescent="0.2">
      <c r="B11" s="126"/>
      <c r="C11" s="127"/>
      <c r="E11" s="114"/>
      <c r="F11" s="115"/>
      <c r="I11" s="120"/>
      <c r="J11" s="121"/>
      <c r="L11" s="108"/>
      <c r="M11" s="109"/>
      <c r="O11" s="108"/>
      <c r="P11" s="109"/>
      <c r="R11" s="108"/>
      <c r="S11" s="109"/>
    </row>
    <row r="12" spans="2:19" ht="16" customHeight="1" thickBot="1" x14ac:dyDescent="0.25">
      <c r="B12" s="128"/>
      <c r="C12" s="129"/>
      <c r="E12" s="116"/>
      <c r="F12" s="117"/>
      <c r="I12" s="122"/>
      <c r="J12" s="123"/>
      <c r="L12" s="110"/>
      <c r="M12" s="111"/>
      <c r="O12" s="110"/>
      <c r="P12" s="111"/>
      <c r="R12" s="110"/>
      <c r="S12" s="111"/>
    </row>
    <row r="13" spans="2:19" ht="16" customHeight="1" x14ac:dyDescent="0.2">
      <c r="B13" s="25"/>
      <c r="C13" s="74"/>
      <c r="E13" s="74"/>
      <c r="F13" s="26"/>
      <c r="I13" s="22"/>
      <c r="M13" s="27"/>
      <c r="O13" s="80"/>
      <c r="P13" s="77"/>
      <c r="S13" s="27"/>
    </row>
    <row r="14" spans="2:19" ht="16" customHeight="1" thickBot="1" x14ac:dyDescent="0.25">
      <c r="B14" s="22" t="s">
        <v>19</v>
      </c>
      <c r="C14" s="23" t="str">
        <f>IFERROR(GETPIVOTDATA("Delta in %",'Jira Input'!$K$5,"Tshirt Size",B15),"-")</f>
        <v>-</v>
      </c>
      <c r="E14" t="s">
        <v>19</v>
      </c>
      <c r="F14" s="24" t="str">
        <f>IFERROR(GETPIVOTDATA("Delta in %",'Jira Input'!$K$5,"Tshirt Size",E15),"-")</f>
        <v>-</v>
      </c>
      <c r="I14" s="22" t="s">
        <v>19</v>
      </c>
      <c r="J14" s="64" t="str">
        <f>Details!G10</f>
        <v>-</v>
      </c>
      <c r="L14" t="s">
        <v>19</v>
      </c>
      <c r="M14" s="34" t="str">
        <f>Details!G11</f>
        <v>-</v>
      </c>
      <c r="O14" s="22" t="s">
        <v>19</v>
      </c>
      <c r="P14" s="64" t="str">
        <f>Details!G14</f>
        <v>-</v>
      </c>
      <c r="R14" t="s">
        <v>19</v>
      </c>
      <c r="S14" s="34" t="str">
        <f>Details!G15</f>
        <v>-</v>
      </c>
    </row>
    <row r="15" spans="2:19" ht="16" customHeight="1" x14ac:dyDescent="0.2">
      <c r="B15" s="112" t="s">
        <v>26</v>
      </c>
      <c r="C15" s="113"/>
      <c r="E15" s="112" t="s">
        <v>27</v>
      </c>
      <c r="F15" s="113"/>
      <c r="I15" s="106" t="s">
        <v>28</v>
      </c>
      <c r="J15" s="107"/>
      <c r="L15" s="106" t="s">
        <v>29</v>
      </c>
      <c r="M15" s="107"/>
      <c r="O15" s="106" t="s">
        <v>30</v>
      </c>
      <c r="P15" s="107"/>
      <c r="R15" s="106" t="s">
        <v>31</v>
      </c>
      <c r="S15" s="107"/>
    </row>
    <row r="16" spans="2:19" ht="16" customHeight="1" x14ac:dyDescent="0.2">
      <c r="B16" s="114"/>
      <c r="C16" s="115"/>
      <c r="E16" s="114"/>
      <c r="F16" s="115"/>
      <c r="I16" s="108"/>
      <c r="J16" s="109"/>
      <c r="L16" s="108"/>
      <c r="M16" s="109"/>
      <c r="O16" s="108"/>
      <c r="P16" s="109"/>
      <c r="R16" s="108"/>
      <c r="S16" s="109"/>
    </row>
    <row r="17" spans="2:19" ht="16" customHeight="1" x14ac:dyDescent="0.2">
      <c r="B17" s="114"/>
      <c r="C17" s="115"/>
      <c r="E17" s="114"/>
      <c r="F17" s="115"/>
      <c r="I17" s="108"/>
      <c r="J17" s="109"/>
      <c r="L17" s="108"/>
      <c r="M17" s="109"/>
      <c r="O17" s="108"/>
      <c r="P17" s="109"/>
      <c r="R17" s="108"/>
      <c r="S17" s="109"/>
    </row>
    <row r="18" spans="2:19" ht="17" customHeight="1" thickBot="1" x14ac:dyDescent="0.25">
      <c r="B18" s="116"/>
      <c r="C18" s="117"/>
      <c r="E18" s="116"/>
      <c r="F18" s="117"/>
      <c r="I18" s="110"/>
      <c r="J18" s="111"/>
      <c r="L18" s="110"/>
      <c r="M18" s="111"/>
      <c r="O18" s="110"/>
      <c r="P18" s="111"/>
      <c r="R18" s="110"/>
      <c r="S18" s="111"/>
    </row>
    <row r="19" spans="2:19" x14ac:dyDescent="0.2">
      <c r="B19" s="25"/>
      <c r="C19" s="74"/>
      <c r="E19" s="74"/>
      <c r="F19" s="26"/>
      <c r="I19" s="22"/>
      <c r="M19" s="27"/>
      <c r="O19" s="22"/>
      <c r="S19" s="27"/>
    </row>
    <row r="20" spans="2:19" ht="17" thickBot="1" x14ac:dyDescent="0.25">
      <c r="B20" s="22" t="s">
        <v>19</v>
      </c>
      <c r="C20" s="23" t="str">
        <f>IFERROR(GETPIVOTDATA("Delta in %",'Jira Input'!$K$5,"Tshirt Size",B21),"-")</f>
        <v>-</v>
      </c>
      <c r="F20" s="27"/>
      <c r="I20" s="28"/>
      <c r="J20" s="29"/>
      <c r="K20" s="29"/>
      <c r="L20" s="29"/>
      <c r="M20" s="30"/>
      <c r="N20" s="29"/>
      <c r="O20" s="28"/>
      <c r="P20" s="29"/>
      <c r="Q20" s="29"/>
      <c r="R20" s="29"/>
      <c r="S20" s="30"/>
    </row>
    <row r="21" spans="2:19" ht="16" customHeight="1" x14ac:dyDescent="0.2">
      <c r="B21" s="112" t="s">
        <v>32</v>
      </c>
      <c r="C21" s="113"/>
      <c r="F21" s="27"/>
    </row>
    <row r="22" spans="2:19" ht="16" customHeight="1" x14ac:dyDescent="0.2">
      <c r="B22" s="114"/>
      <c r="C22" s="115"/>
      <c r="F22" s="27"/>
    </row>
    <row r="23" spans="2:19" ht="16" customHeight="1" x14ac:dyDescent="0.2">
      <c r="B23" s="114"/>
      <c r="C23" s="115"/>
      <c r="F23" s="27"/>
    </row>
    <row r="24" spans="2:19" ht="16" customHeight="1" thickBot="1" x14ac:dyDescent="0.25">
      <c r="B24" s="116"/>
      <c r="C24" s="117"/>
      <c r="F24" s="27"/>
    </row>
    <row r="25" spans="2:19" x14ac:dyDescent="0.2">
      <c r="B25" s="22"/>
      <c r="F25" s="27"/>
    </row>
    <row r="26" spans="2:19" ht="17" thickBot="1" x14ac:dyDescent="0.25">
      <c r="B26" s="28"/>
      <c r="C26" s="29"/>
      <c r="D26" s="29"/>
      <c r="E26" s="29"/>
      <c r="F26" s="30"/>
    </row>
    <row r="27" spans="2:19" x14ac:dyDescent="0.2">
      <c r="J27" t="s">
        <v>130</v>
      </c>
      <c r="P27" s="17"/>
    </row>
    <row r="28" spans="2:19" x14ac:dyDescent="0.2">
      <c r="J28" t="s">
        <v>131</v>
      </c>
      <c r="N28" s="17"/>
      <c r="P28" s="17"/>
    </row>
    <row r="30" spans="2:19" ht="17" thickBot="1" x14ac:dyDescent="0.25"/>
    <row r="31" spans="2:19" ht="24" x14ac:dyDescent="0.2">
      <c r="B31" s="103" t="s">
        <v>33</v>
      </c>
      <c r="C31" s="104"/>
      <c r="D31" s="104"/>
      <c r="E31" s="104"/>
      <c r="F31" s="105"/>
      <c r="N31" s="1"/>
    </row>
    <row r="32" spans="2:19" x14ac:dyDescent="0.2">
      <c r="B32" s="41" t="s">
        <v>34</v>
      </c>
      <c r="C32" s="96">
        <f>Details!E27</f>
        <v>0</v>
      </c>
      <c r="D32" s="96"/>
      <c r="E32" s="96"/>
      <c r="F32" s="97"/>
    </row>
    <row r="33" spans="2:18" ht="34" customHeight="1" x14ac:dyDescent="0.2">
      <c r="B33" s="102" t="s">
        <v>35</v>
      </c>
      <c r="C33" s="74" t="s">
        <v>36</v>
      </c>
      <c r="D33" s="96">
        <f>Details!D46</f>
        <v>0</v>
      </c>
      <c r="E33" s="96"/>
      <c r="F33" s="97"/>
    </row>
    <row r="34" spans="2:18" ht="34" customHeight="1" x14ac:dyDescent="0.2">
      <c r="B34" s="102"/>
      <c r="C34" s="54" t="s">
        <v>37</v>
      </c>
      <c r="D34" s="100">
        <f>Details!D41</f>
        <v>0</v>
      </c>
      <c r="E34" s="100"/>
      <c r="F34" s="101"/>
      <c r="R34" s="3"/>
    </row>
    <row r="35" spans="2:18" ht="30" thickBot="1" x14ac:dyDescent="0.4">
      <c r="B35" s="81" t="s">
        <v>38</v>
      </c>
      <c r="C35" s="98" t="e">
        <f>(C32-(D33+D34))/C32</f>
        <v>#DIV/0!</v>
      </c>
      <c r="D35" s="98"/>
      <c r="E35" s="98"/>
      <c r="F35" s="99"/>
    </row>
  </sheetData>
  <mergeCells count="21">
    <mergeCell ref="B31:F31"/>
    <mergeCell ref="R9:S12"/>
    <mergeCell ref="O15:P18"/>
    <mergeCell ref="R15:S18"/>
    <mergeCell ref="B4:F4"/>
    <mergeCell ref="I4:S4"/>
    <mergeCell ref="O9:P12"/>
    <mergeCell ref="B21:C24"/>
    <mergeCell ref="I9:J12"/>
    <mergeCell ref="L9:M12"/>
    <mergeCell ref="I15:J18"/>
    <mergeCell ref="L15:M18"/>
    <mergeCell ref="B9:C12"/>
    <mergeCell ref="E9:F12"/>
    <mergeCell ref="B15:C18"/>
    <mergeCell ref="E15:F18"/>
    <mergeCell ref="C32:F32"/>
    <mergeCell ref="C35:F35"/>
    <mergeCell ref="D33:F33"/>
    <mergeCell ref="D34:F34"/>
    <mergeCell ref="B33:B34"/>
  </mergeCells>
  <conditionalFormatting sqref="B9:C12">
    <cfRule type="expression" dxfId="38" priority="39">
      <formula>$C$8&gt;0</formula>
    </cfRule>
    <cfRule type="expression" dxfId="37" priority="5">
      <formula>$C$8="-"</formula>
    </cfRule>
    <cfRule type="expression" dxfId="36" priority="35">
      <formula>$C$8&lt;0</formula>
    </cfRule>
  </conditionalFormatting>
  <conditionalFormatting sqref="B15:C18">
    <cfRule type="expression" dxfId="35" priority="3">
      <formula>$C$14="-"</formula>
    </cfRule>
    <cfRule type="expression" dxfId="34" priority="38">
      <formula>$C$14&gt;0</formula>
    </cfRule>
    <cfRule type="expression" dxfId="33" priority="33">
      <formula>$C$14&lt;0</formula>
    </cfRule>
  </conditionalFormatting>
  <conditionalFormatting sqref="B21:C24">
    <cfRule type="expression" dxfId="32" priority="1">
      <formula>$C$20="-"</formula>
    </cfRule>
    <cfRule type="expression" dxfId="31" priority="36">
      <formula>$C$20&gt;0</formula>
    </cfRule>
    <cfRule type="expression" dxfId="30" priority="31">
      <formula>$C$20&lt;0</formula>
    </cfRule>
  </conditionalFormatting>
  <conditionalFormatting sqref="E9:F12">
    <cfRule type="expression" dxfId="29" priority="40">
      <formula>$F$8&gt;0</formula>
    </cfRule>
    <cfRule type="expression" dxfId="28" priority="4">
      <formula>$F$8="-"</formula>
    </cfRule>
    <cfRule type="expression" dxfId="27" priority="34">
      <formula>$F$8&lt;0</formula>
    </cfRule>
  </conditionalFormatting>
  <conditionalFormatting sqref="E15:F18">
    <cfRule type="expression" dxfId="26" priority="2">
      <formula>$F$14="-"</formula>
    </cfRule>
    <cfRule type="expression" dxfId="25" priority="37">
      <formula>$F$14&gt;0</formula>
    </cfRule>
    <cfRule type="expression" dxfId="24" priority="32">
      <formula>$F$14&lt;0</formula>
    </cfRule>
  </conditionalFormatting>
  <conditionalFormatting sqref="I9:J12">
    <cfRule type="expression" dxfId="23" priority="26">
      <formula>$J$8&lt;0</formula>
    </cfRule>
    <cfRule type="expression" dxfId="22" priority="30">
      <formula>$J$8&gt;0</formula>
    </cfRule>
  </conditionalFormatting>
  <conditionalFormatting sqref="I15:J18">
    <cfRule type="expression" dxfId="21" priority="28">
      <formula>$J$14&gt;0</formula>
    </cfRule>
    <cfRule type="expression" dxfId="20" priority="24">
      <formula>$J$14&lt;0</formula>
    </cfRule>
  </conditionalFormatting>
  <conditionalFormatting sqref="L9:M12">
    <cfRule type="expression" dxfId="19" priority="29">
      <formula>$M$8&gt;0</formula>
    </cfRule>
    <cfRule type="expression" dxfId="18" priority="25">
      <formula>$M$8&lt;0</formula>
    </cfRule>
  </conditionalFormatting>
  <conditionalFormatting sqref="L15:M18">
    <cfRule type="expression" dxfId="17" priority="22">
      <formula>$M$14&lt;0</formula>
    </cfRule>
    <cfRule type="expression" dxfId="16" priority="23">
      <formula>$M$14&gt;0</formula>
    </cfRule>
  </conditionalFormatting>
  <conditionalFormatting sqref="O9:P12">
    <cfRule type="expression" dxfId="15" priority="21">
      <formula>$P$8&gt;0</formula>
    </cfRule>
    <cfRule type="expression" dxfId="14" priority="20">
      <formula>$P$8&lt;0</formula>
    </cfRule>
    <cfRule type="expression" dxfId="13" priority="13">
      <formula>$P$8="-"</formula>
    </cfRule>
  </conditionalFormatting>
  <conditionalFormatting sqref="O15:P18">
    <cfRule type="expression" dxfId="12" priority="10">
      <formula>$P$14&lt;0</formula>
    </cfRule>
    <cfRule type="expression" dxfId="11" priority="9">
      <formula>$P$14="-"</formula>
    </cfRule>
    <cfRule type="expression" dxfId="10" priority="11">
      <formula>$P$14&gt;0</formula>
    </cfRule>
  </conditionalFormatting>
  <conditionalFormatting sqref="R9:S12">
    <cfRule type="expression" dxfId="9" priority="19">
      <formula>$S$8&gt;0</formula>
    </cfRule>
    <cfRule type="expression" dxfId="8" priority="18">
      <formula>$S$8&lt;0</formula>
    </cfRule>
    <cfRule type="expression" dxfId="7" priority="12">
      <formula>$S$8="-"</formula>
    </cfRule>
  </conditionalFormatting>
  <conditionalFormatting sqref="R15:S18">
    <cfRule type="expression" dxfId="6" priority="8">
      <formula>$S$14&gt;0</formula>
    </cfRule>
    <cfRule type="expression" dxfId="5" priority="7">
      <formula>$S$14&lt;0</formula>
    </cfRule>
    <cfRule type="expression" dxfId="4" priority="6">
      <formula>$S$14="-"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76CE-FC05-5E43-B554-69AF481A2C1E}">
  <sheetPr>
    <tabColor rgb="FFFFFF00"/>
  </sheetPr>
  <dimension ref="A1:O36"/>
  <sheetViews>
    <sheetView topLeftCell="A22" workbookViewId="0">
      <selection activeCell="G25" sqref="G25"/>
    </sheetView>
  </sheetViews>
  <sheetFormatPr baseColWidth="10" defaultColWidth="11" defaultRowHeight="16" x14ac:dyDescent="0.2"/>
  <cols>
    <col min="1" max="1" width="34.5" bestFit="1" customWidth="1"/>
    <col min="2" max="2" width="16.5" customWidth="1"/>
    <col min="3" max="3" width="38.83203125" customWidth="1"/>
    <col min="4" max="4" width="48.33203125" customWidth="1"/>
    <col min="7" max="7" width="20.6640625" bestFit="1" customWidth="1"/>
    <col min="8" max="8" width="19.5" bestFit="1" customWidth="1"/>
    <col min="9" max="9" width="26.83203125" customWidth="1"/>
  </cols>
  <sheetData>
    <row r="1" spans="1:15" x14ac:dyDescent="0.2">
      <c r="A1" s="143" t="s">
        <v>39</v>
      </c>
      <c r="B1" s="143"/>
      <c r="C1" s="143"/>
      <c r="D1" s="143"/>
    </row>
    <row r="2" spans="1:15" ht="38" customHeight="1" x14ac:dyDescent="0.2">
      <c r="A2" s="143"/>
      <c r="B2" s="143"/>
      <c r="C2" s="143"/>
      <c r="D2" s="143"/>
    </row>
    <row r="4" spans="1:15" ht="17" thickBot="1" x14ac:dyDescent="0.25"/>
    <row r="5" spans="1:15" ht="23" thickBot="1" x14ac:dyDescent="0.35">
      <c r="A5" s="36" t="s">
        <v>40</v>
      </c>
      <c r="B5" s="37">
        <v>0.25</v>
      </c>
      <c r="C5" s="38" t="s">
        <v>41</v>
      </c>
    </row>
    <row r="6" spans="1:15" ht="17" thickBot="1" x14ac:dyDescent="0.25"/>
    <row r="7" spans="1:15" ht="22" x14ac:dyDescent="0.3">
      <c r="A7" s="137" t="s">
        <v>42</v>
      </c>
      <c r="B7" s="138"/>
      <c r="C7" s="138"/>
      <c r="D7" s="139"/>
      <c r="G7" s="50" t="s">
        <v>43</v>
      </c>
      <c r="H7" s="20"/>
      <c r="I7" s="20"/>
      <c r="J7" s="20"/>
      <c r="K7" s="20"/>
      <c r="L7" s="20"/>
      <c r="M7" s="20"/>
      <c r="N7" s="20"/>
      <c r="O7" s="21"/>
    </row>
    <row r="8" spans="1:15" ht="71" customHeight="1" x14ac:dyDescent="0.2">
      <c r="A8" s="22"/>
      <c r="C8" s="39" t="s">
        <v>44</v>
      </c>
      <c r="D8" s="40" t="s">
        <v>45</v>
      </c>
      <c r="G8" s="132" t="s">
        <v>46</v>
      </c>
      <c r="H8" s="95"/>
      <c r="I8" s="95"/>
      <c r="J8" s="95"/>
      <c r="K8" s="95"/>
      <c r="L8" s="95"/>
      <c r="M8" s="95"/>
      <c r="N8" s="95"/>
      <c r="O8" s="133"/>
    </row>
    <row r="9" spans="1:15" ht="26" customHeight="1" x14ac:dyDescent="0.2">
      <c r="A9" s="41" t="s">
        <v>47</v>
      </c>
      <c r="B9" s="42" t="s">
        <v>48</v>
      </c>
      <c r="C9" s="42" t="s">
        <v>49</v>
      </c>
      <c r="D9" s="43" t="s">
        <v>50</v>
      </c>
      <c r="G9" s="22"/>
      <c r="H9" s="42" t="s">
        <v>51</v>
      </c>
      <c r="I9" s="51" t="s">
        <v>52</v>
      </c>
      <c r="O9" s="27"/>
    </row>
    <row r="10" spans="1:15" x14ac:dyDescent="0.2">
      <c r="A10" s="44">
        <v>1</v>
      </c>
      <c r="B10" s="12" t="s">
        <v>20</v>
      </c>
      <c r="C10" s="32">
        <v>380</v>
      </c>
      <c r="D10" s="45">
        <v>292</v>
      </c>
      <c r="G10" s="22" t="s">
        <v>53</v>
      </c>
      <c r="H10" s="31">
        <v>0</v>
      </c>
      <c r="I10" s="32">
        <v>100</v>
      </c>
      <c r="O10" s="27"/>
    </row>
    <row r="11" spans="1:15" x14ac:dyDescent="0.2">
      <c r="A11" s="44">
        <v>2</v>
      </c>
      <c r="B11" s="12" t="s">
        <v>21</v>
      </c>
      <c r="C11" s="32">
        <v>760</v>
      </c>
      <c r="D11" s="45">
        <v>582</v>
      </c>
      <c r="G11" s="22" t="s">
        <v>54</v>
      </c>
      <c r="H11" s="31">
        <v>0</v>
      </c>
      <c r="I11" s="32">
        <v>60</v>
      </c>
      <c r="O11" s="27"/>
    </row>
    <row r="12" spans="1:15" x14ac:dyDescent="0.2">
      <c r="A12" s="44">
        <v>3</v>
      </c>
      <c r="B12" s="12" t="s">
        <v>26</v>
      </c>
      <c r="C12" s="32">
        <v>1135</v>
      </c>
      <c r="D12" s="45">
        <v>876</v>
      </c>
      <c r="G12" s="22" t="s">
        <v>55</v>
      </c>
      <c r="H12" s="31">
        <v>0</v>
      </c>
      <c r="I12" s="32">
        <v>39</v>
      </c>
      <c r="O12" s="27"/>
    </row>
    <row r="13" spans="1:15" x14ac:dyDescent="0.2">
      <c r="A13" s="44">
        <v>5</v>
      </c>
      <c r="B13" s="12" t="s">
        <v>27</v>
      </c>
      <c r="C13" s="32">
        <v>1890</v>
      </c>
      <c r="D13" s="45">
        <v>1460</v>
      </c>
      <c r="G13" s="22" t="s">
        <v>56</v>
      </c>
      <c r="H13" s="31">
        <v>1</v>
      </c>
      <c r="I13" s="32">
        <v>112.89</v>
      </c>
      <c r="J13" t="s">
        <v>57</v>
      </c>
      <c r="O13" s="27"/>
    </row>
    <row r="14" spans="1:15" ht="17" thickBot="1" x14ac:dyDescent="0.25">
      <c r="A14" s="46">
        <v>8</v>
      </c>
      <c r="B14" s="47" t="s">
        <v>32</v>
      </c>
      <c r="C14" s="48">
        <v>3030</v>
      </c>
      <c r="D14" s="49">
        <v>2336</v>
      </c>
      <c r="G14" s="28" t="s">
        <v>58</v>
      </c>
      <c r="H14" s="52">
        <f>SUM(H10:H13)</f>
        <v>1</v>
      </c>
      <c r="I14" s="53">
        <f>H10*I10+H11*I11+H12*I12+H13*I13</f>
        <v>112.89</v>
      </c>
      <c r="J14" s="29" t="s">
        <v>59</v>
      </c>
      <c r="K14" s="29"/>
      <c r="L14" s="29"/>
      <c r="M14" s="29"/>
      <c r="N14" s="29"/>
      <c r="O14" s="30"/>
    </row>
    <row r="18" spans="1:4" ht="17" thickBot="1" x14ac:dyDescent="0.25"/>
    <row r="19" spans="1:4" x14ac:dyDescent="0.2">
      <c r="A19" s="33" t="s">
        <v>60</v>
      </c>
      <c r="B19" s="20"/>
      <c r="C19" s="20"/>
      <c r="D19" s="21"/>
    </row>
    <row r="20" spans="1:4" ht="16" customHeight="1" x14ac:dyDescent="0.2">
      <c r="A20" s="134" t="s">
        <v>61</v>
      </c>
      <c r="B20" s="135"/>
      <c r="C20" s="135"/>
      <c r="D20" s="136"/>
    </row>
    <row r="21" spans="1:4" x14ac:dyDescent="0.2">
      <c r="A21" s="134"/>
      <c r="B21" s="135"/>
      <c r="C21" s="135"/>
      <c r="D21" s="136"/>
    </row>
    <row r="22" spans="1:4" ht="51" customHeight="1" x14ac:dyDescent="0.2">
      <c r="A22" s="55" t="s">
        <v>62</v>
      </c>
      <c r="B22" s="140" t="s">
        <v>63</v>
      </c>
      <c r="C22" s="140"/>
      <c r="D22" s="71" t="s">
        <v>64</v>
      </c>
    </row>
    <row r="23" spans="1:4" x14ac:dyDescent="0.2">
      <c r="A23" s="44" t="s">
        <v>65</v>
      </c>
      <c r="B23" s="130">
        <v>0.1</v>
      </c>
      <c r="C23" s="130"/>
      <c r="D23" s="141" t="s">
        <v>66</v>
      </c>
    </row>
    <row r="24" spans="1:4" x14ac:dyDescent="0.2">
      <c r="A24" s="44" t="s">
        <v>67</v>
      </c>
      <c r="B24" s="130">
        <v>0.2</v>
      </c>
      <c r="C24" s="130"/>
      <c r="D24" s="142"/>
    </row>
    <row r="25" spans="1:4" x14ac:dyDescent="0.2">
      <c r="A25" s="44" t="s">
        <v>68</v>
      </c>
      <c r="B25" s="130">
        <v>0.7</v>
      </c>
      <c r="C25" s="130"/>
      <c r="D25" s="142"/>
    </row>
    <row r="26" spans="1:4" x14ac:dyDescent="0.2">
      <c r="A26" s="44" t="s">
        <v>69</v>
      </c>
      <c r="B26" s="130">
        <v>0</v>
      </c>
      <c r="C26" s="130"/>
      <c r="D26" s="142"/>
    </row>
    <row r="27" spans="1:4" x14ac:dyDescent="0.2">
      <c r="A27" s="44" t="s">
        <v>70</v>
      </c>
      <c r="B27" s="130" t="s">
        <v>71</v>
      </c>
      <c r="C27" s="130"/>
      <c r="D27" s="69" t="s">
        <v>72</v>
      </c>
    </row>
    <row r="28" spans="1:4" x14ac:dyDescent="0.2">
      <c r="A28" s="44" t="s">
        <v>73</v>
      </c>
      <c r="B28" s="130" t="s">
        <v>71</v>
      </c>
      <c r="C28" s="130"/>
      <c r="D28" s="69" t="s">
        <v>72</v>
      </c>
    </row>
    <row r="29" spans="1:4" x14ac:dyDescent="0.2">
      <c r="A29" s="44" t="s">
        <v>74</v>
      </c>
      <c r="B29" s="130" t="s">
        <v>71</v>
      </c>
      <c r="C29" s="130"/>
      <c r="D29" s="69" t="s">
        <v>72</v>
      </c>
    </row>
    <row r="30" spans="1:4" x14ac:dyDescent="0.2">
      <c r="A30" s="44" t="s">
        <v>75</v>
      </c>
      <c r="B30" s="130" t="s">
        <v>71</v>
      </c>
      <c r="C30" s="130"/>
      <c r="D30" s="69"/>
    </row>
    <row r="31" spans="1:4" ht="17" thickBot="1" x14ac:dyDescent="0.25">
      <c r="A31" s="28" t="s">
        <v>76</v>
      </c>
      <c r="B31" s="131">
        <f>SUM(B23:C30)</f>
        <v>1</v>
      </c>
      <c r="C31" s="131"/>
      <c r="D31" s="72"/>
    </row>
    <row r="36" spans="4:6" x14ac:dyDescent="0.2">
      <c r="D36" s="19"/>
      <c r="E36" s="70"/>
      <c r="F36" s="90"/>
    </row>
  </sheetData>
  <mergeCells count="15">
    <mergeCell ref="A1:D2"/>
    <mergeCell ref="B23:C23"/>
    <mergeCell ref="B24:C24"/>
    <mergeCell ref="B25:C25"/>
    <mergeCell ref="B26:C26"/>
    <mergeCell ref="B30:C30"/>
    <mergeCell ref="B31:C31"/>
    <mergeCell ref="G8:O8"/>
    <mergeCell ref="A20:D21"/>
    <mergeCell ref="A7:D7"/>
    <mergeCell ref="B27:C27"/>
    <mergeCell ref="B22:C22"/>
    <mergeCell ref="D23:D26"/>
    <mergeCell ref="B28:C28"/>
    <mergeCell ref="B29:C29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6610-7834-9947-8031-75A266398086}">
  <sheetPr>
    <tabColor rgb="FFFFC000"/>
  </sheetPr>
  <dimension ref="B1:T51"/>
  <sheetViews>
    <sheetView topLeftCell="B1" workbookViewId="0">
      <selection activeCell="K34" sqref="K34"/>
    </sheetView>
  </sheetViews>
  <sheetFormatPr baseColWidth="10" defaultColWidth="11" defaultRowHeight="16" x14ac:dyDescent="0.2"/>
  <cols>
    <col min="2" max="2" width="34.83203125" bestFit="1" customWidth="1"/>
    <col min="3" max="3" width="18.33203125" customWidth="1"/>
    <col min="4" max="4" width="17.83203125" bestFit="1" customWidth="1"/>
    <col min="5" max="5" width="15.1640625" bestFit="1" customWidth="1"/>
    <col min="15" max="15" width="11.5" bestFit="1" customWidth="1"/>
  </cols>
  <sheetData>
    <row r="1" spans="2:20" x14ac:dyDescent="0.2">
      <c r="B1" s="143" t="s">
        <v>77</v>
      </c>
      <c r="C1" s="143"/>
      <c r="D1" s="143"/>
      <c r="E1" s="143"/>
    </row>
    <row r="2" spans="2:20" ht="55" customHeight="1" x14ac:dyDescent="0.2">
      <c r="B2" s="143"/>
      <c r="C2" s="143"/>
      <c r="D2" s="143"/>
      <c r="E2" s="143"/>
    </row>
    <row r="3" spans="2:20" ht="17" thickBot="1" x14ac:dyDescent="0.25"/>
    <row r="4" spans="2:20" ht="22" x14ac:dyDescent="0.3">
      <c r="B4" s="59" t="s">
        <v>14</v>
      </c>
      <c r="C4" s="60"/>
      <c r="D4" s="60"/>
      <c r="E4" s="60"/>
      <c r="F4" s="60"/>
      <c r="G4" s="61"/>
      <c r="J4" s="59" t="s">
        <v>78</v>
      </c>
      <c r="K4" s="60"/>
      <c r="L4" s="60"/>
      <c r="M4" s="60"/>
      <c r="N4" s="60"/>
      <c r="O4" s="60"/>
      <c r="P4" s="60"/>
      <c r="Q4" s="60"/>
      <c r="R4" s="60"/>
      <c r="S4" s="60"/>
      <c r="T4" s="61"/>
    </row>
    <row r="5" spans="2:20" x14ac:dyDescent="0.2">
      <c r="B5" s="132" t="s">
        <v>79</v>
      </c>
      <c r="C5" s="95"/>
      <c r="D5" s="95"/>
      <c r="E5" s="95"/>
      <c r="G5" s="27"/>
      <c r="J5" s="132" t="s">
        <v>80</v>
      </c>
      <c r="K5" s="95"/>
      <c r="L5" s="95"/>
      <c r="M5" s="95"/>
      <c r="N5" s="146" t="s">
        <v>81</v>
      </c>
      <c r="O5" s="148">
        <f>(T5-T5*Projektkonfiguration!B5)/Projektkonfiguration!I14</f>
        <v>2.5158398254472214</v>
      </c>
      <c r="P5" s="95" t="s">
        <v>82</v>
      </c>
      <c r="Q5" s="95"/>
      <c r="R5" s="95"/>
      <c r="S5" s="146" t="s">
        <v>83</v>
      </c>
      <c r="T5" s="97">
        <f>SUM(Projektkonfiguration!C10:C14)/SUM(Projektkonfiguration!A10:A14)</f>
        <v>378.68421052631578</v>
      </c>
    </row>
    <row r="6" spans="2:20" ht="36" customHeight="1" thickBot="1" x14ac:dyDescent="0.25">
      <c r="B6" s="132"/>
      <c r="C6" s="95"/>
      <c r="D6" s="95"/>
      <c r="E6" s="95"/>
      <c r="G6" s="27"/>
      <c r="J6" s="144"/>
      <c r="K6" s="145"/>
      <c r="L6" s="145"/>
      <c r="M6" s="145"/>
      <c r="N6" s="147"/>
      <c r="O6" s="149"/>
      <c r="P6" s="145"/>
      <c r="Q6" s="145"/>
      <c r="R6" s="145"/>
      <c r="S6" s="147"/>
      <c r="T6" s="153"/>
    </row>
    <row r="7" spans="2:20" ht="34" x14ac:dyDescent="0.2">
      <c r="B7" s="55" t="s">
        <v>62</v>
      </c>
      <c r="C7" s="63" t="s">
        <v>84</v>
      </c>
      <c r="D7" s="56" t="s">
        <v>85</v>
      </c>
      <c r="E7" s="56" t="s">
        <v>86</v>
      </c>
      <c r="F7" s="56" t="s">
        <v>87</v>
      </c>
      <c r="G7" s="57" t="s">
        <v>19</v>
      </c>
    </row>
    <row r="8" spans="2:20" x14ac:dyDescent="0.2">
      <c r="B8" s="68" t="s">
        <v>22</v>
      </c>
      <c r="C8" s="73">
        <f>Projektkonfiguration!B23</f>
        <v>0.1</v>
      </c>
      <c r="D8">
        <f t="shared" ref="D8:D12" si="0">IFERROR($B$46*C8,"-")</f>
        <v>0</v>
      </c>
      <c r="E8" t="str">
        <f>IFERROR(GETPIVOTDATA("Dauer",'Heimat Input'!$V$12,"Vorgang",B8),"-")</f>
        <v>-</v>
      </c>
      <c r="F8" s="10" t="str">
        <f>IFERROR(E8-D8,"-")</f>
        <v>-</v>
      </c>
      <c r="G8" s="65" t="str">
        <f>IFERROR(F8/D8,"-")</f>
        <v>-</v>
      </c>
    </row>
    <row r="9" spans="2:20" ht="17" thickBot="1" x14ac:dyDescent="0.25">
      <c r="B9" s="68" t="s">
        <v>23</v>
      </c>
      <c r="C9" s="73">
        <f>Projektkonfiguration!B24</f>
        <v>0.2</v>
      </c>
      <c r="D9">
        <f t="shared" si="0"/>
        <v>0</v>
      </c>
      <c r="E9" t="str">
        <f>IFERROR(GETPIVOTDATA("Dauer",'Heimat Input'!$V$12,"Vorgang",B9),"-")</f>
        <v>-</v>
      </c>
      <c r="F9" s="10" t="str">
        <f t="shared" ref="F9:F15" si="1">IFERROR(E9-D9,"-")</f>
        <v>-</v>
      </c>
      <c r="G9" s="65" t="str">
        <f t="shared" ref="G9:G15" si="2">IFERROR(F9/D9,"-")</f>
        <v>-</v>
      </c>
    </row>
    <row r="10" spans="2:20" ht="22" x14ac:dyDescent="0.3">
      <c r="B10" s="68" t="s">
        <v>28</v>
      </c>
      <c r="C10" s="73">
        <f>Projektkonfiguration!B25</f>
        <v>0.7</v>
      </c>
      <c r="D10">
        <f t="shared" si="0"/>
        <v>0</v>
      </c>
      <c r="E10">
        <f>GETPIVOTDATA("Summe von IST-Wert",'Jira Input'!$K$5)</f>
        <v>0</v>
      </c>
      <c r="F10" s="10">
        <f t="shared" si="1"/>
        <v>0</v>
      </c>
      <c r="G10" s="65" t="str">
        <f t="shared" si="2"/>
        <v>-</v>
      </c>
      <c r="J10" s="157" t="s">
        <v>88</v>
      </c>
      <c r="K10" s="158"/>
      <c r="L10" s="158"/>
      <c r="M10" s="158"/>
      <c r="N10" s="158"/>
      <c r="O10" s="158"/>
      <c r="P10" s="158"/>
      <c r="Q10" s="158"/>
      <c r="R10" s="158"/>
      <c r="S10" s="158"/>
      <c r="T10" s="159"/>
    </row>
    <row r="11" spans="2:20" x14ac:dyDescent="0.2">
      <c r="B11" s="68" t="s">
        <v>29</v>
      </c>
      <c r="C11" s="73">
        <f>Projektkonfiguration!B26</f>
        <v>0</v>
      </c>
      <c r="D11">
        <f t="shared" si="0"/>
        <v>0</v>
      </c>
      <c r="E11" t="str">
        <f>IFERROR(GETPIVOTDATA("Dauer",'Heimat Input'!$V$12,"Vorgang",B11),"-")</f>
        <v>-</v>
      </c>
      <c r="F11" s="10" t="str">
        <f t="shared" si="1"/>
        <v>-</v>
      </c>
      <c r="G11" s="65" t="str">
        <f t="shared" si="2"/>
        <v>-</v>
      </c>
      <c r="J11" s="160" t="s">
        <v>89</v>
      </c>
      <c r="K11" s="161"/>
      <c r="L11" s="161"/>
      <c r="M11" s="161"/>
      <c r="N11" s="161"/>
      <c r="O11" s="161"/>
      <c r="P11" s="161"/>
      <c r="Q11" s="161"/>
      <c r="R11" s="161"/>
      <c r="S11" s="161"/>
      <c r="T11" s="162"/>
    </row>
    <row r="12" spans="2:20" ht="17" x14ac:dyDescent="0.2">
      <c r="B12" s="68" t="s">
        <v>24</v>
      </c>
      <c r="C12" s="73" t="str">
        <f>Projektkonfiguration!B27</f>
        <v>tbd</v>
      </c>
      <c r="D12" t="str">
        <f t="shared" si="0"/>
        <v>-</v>
      </c>
      <c r="E12" t="str">
        <f>IFERROR(GETPIVOTDATA("Dauer",'Heimat Input'!$V$12,"Vorgang",B12),"-")</f>
        <v>-</v>
      </c>
      <c r="F12" s="10" t="str">
        <f t="shared" si="1"/>
        <v>-</v>
      </c>
      <c r="G12" s="65" t="str">
        <f t="shared" si="2"/>
        <v>-</v>
      </c>
      <c r="J12" s="160"/>
      <c r="K12" s="161"/>
      <c r="L12" s="161"/>
      <c r="M12" s="161"/>
      <c r="N12" s="161"/>
      <c r="O12" s="161"/>
      <c r="P12" s="161"/>
      <c r="Q12" s="161"/>
      <c r="R12" s="161"/>
      <c r="S12" s="161"/>
      <c r="T12" s="162"/>
    </row>
    <row r="13" spans="2:20" ht="17" x14ac:dyDescent="0.2">
      <c r="B13" s="68" t="s">
        <v>25</v>
      </c>
      <c r="C13" s="73" t="str">
        <f>Projektkonfiguration!B28</f>
        <v>tbd</v>
      </c>
      <c r="D13" t="str">
        <f>IFERROR($B$46*C13,"-")</f>
        <v>-</v>
      </c>
      <c r="E13" t="str">
        <f>IFERROR(GETPIVOTDATA("Dauer",'Heimat Input'!$V$12,"Vorgang",B13),"-")</f>
        <v>-</v>
      </c>
      <c r="F13" s="10" t="str">
        <f t="shared" si="1"/>
        <v>-</v>
      </c>
      <c r="G13" s="65" t="str">
        <f t="shared" si="2"/>
        <v>-</v>
      </c>
      <c r="J13" s="160"/>
      <c r="K13" s="161"/>
      <c r="L13" s="161"/>
      <c r="M13" s="161"/>
      <c r="N13" s="161"/>
      <c r="O13" s="161"/>
      <c r="P13" s="161"/>
      <c r="Q13" s="161"/>
      <c r="R13" s="161"/>
      <c r="S13" s="161"/>
      <c r="T13" s="162"/>
    </row>
    <row r="14" spans="2:20" ht="18" thickBot="1" x14ac:dyDescent="0.25">
      <c r="B14" s="68" t="s">
        <v>30</v>
      </c>
      <c r="C14" s="73" t="str">
        <f>Projektkonfiguration!B29</f>
        <v>tbd</v>
      </c>
      <c r="D14" t="str">
        <f t="shared" ref="D14:D15" si="3">IFERROR($B$46*C14,"-")</f>
        <v>-</v>
      </c>
      <c r="E14" t="str">
        <f>IFERROR(GETPIVOTDATA("Dauer",'Heimat Input'!$V$12,"Vorgang",B14),"-")</f>
        <v>-</v>
      </c>
      <c r="F14" s="10" t="str">
        <f t="shared" si="1"/>
        <v>-</v>
      </c>
      <c r="G14" s="65" t="str">
        <f t="shared" si="2"/>
        <v>-</v>
      </c>
      <c r="J14" s="163"/>
      <c r="K14" s="164"/>
      <c r="L14" s="164"/>
      <c r="M14" s="164"/>
      <c r="N14" s="164"/>
      <c r="O14" s="164"/>
      <c r="P14" s="164"/>
      <c r="Q14" s="164"/>
      <c r="R14" s="164"/>
      <c r="S14" s="164"/>
      <c r="T14" s="165"/>
    </row>
    <row r="15" spans="2:20" ht="17" x14ac:dyDescent="0.2">
      <c r="B15" s="68" t="s">
        <v>31</v>
      </c>
      <c r="C15" s="73" t="str">
        <f>Projektkonfiguration!B30</f>
        <v>tbd</v>
      </c>
      <c r="D15" t="str">
        <f t="shared" si="3"/>
        <v>-</v>
      </c>
      <c r="E15" t="str">
        <f>IFERROR(GETPIVOTDATA("Dauer",'Heimat Input'!$V$12,"Vorgang",B15),"-")</f>
        <v>-</v>
      </c>
      <c r="F15" s="10" t="str">
        <f t="shared" si="1"/>
        <v>-</v>
      </c>
      <c r="G15" s="65" t="str">
        <f t="shared" si="2"/>
        <v>-</v>
      </c>
    </row>
    <row r="16" spans="2:20" ht="17" thickBot="1" x14ac:dyDescent="0.25">
      <c r="B16" s="28" t="s">
        <v>90</v>
      </c>
      <c r="C16" s="52">
        <f>SUM(C8:C15)</f>
        <v>1</v>
      </c>
      <c r="D16" s="29"/>
      <c r="E16" s="29"/>
      <c r="F16" s="29"/>
      <c r="G16" s="30"/>
    </row>
    <row r="19" spans="2:7" ht="17" thickBot="1" x14ac:dyDescent="0.25"/>
    <row r="20" spans="2:7" ht="22" x14ac:dyDescent="0.3">
      <c r="B20" s="59" t="s">
        <v>91</v>
      </c>
      <c r="C20" s="60"/>
      <c r="D20" s="60"/>
      <c r="E20" s="60"/>
      <c r="F20" s="60"/>
      <c r="G20" s="61"/>
    </row>
    <row r="21" spans="2:7" x14ac:dyDescent="0.2">
      <c r="B21" s="55" t="s">
        <v>92</v>
      </c>
      <c r="C21" s="146" t="s">
        <v>93</v>
      </c>
      <c r="D21" s="146"/>
      <c r="E21" s="146" t="s">
        <v>34</v>
      </c>
      <c r="F21" s="146"/>
      <c r="G21" s="156"/>
    </row>
    <row r="22" spans="2:7" x14ac:dyDescent="0.2">
      <c r="B22" s="22" t="s">
        <v>20</v>
      </c>
      <c r="C22" s="150" t="str">
        <f>IFERROR(GETPIVOTDATA("Anzahl von Tshirt Size",'Jira Input'!K5,"Tshirt Size",$B22),"-")</f>
        <v>-</v>
      </c>
      <c r="D22" s="150"/>
      <c r="E22" s="151" t="str">
        <f>IFERROR($C22*VLOOKUP(B22,Projektkonfiguration!$B$10:$D$14,2,FALSE),"-")</f>
        <v>-</v>
      </c>
      <c r="F22" s="151"/>
      <c r="G22" s="152"/>
    </row>
    <row r="23" spans="2:7" x14ac:dyDescent="0.2">
      <c r="B23" s="22" t="s">
        <v>21</v>
      </c>
      <c r="C23" s="150" t="str">
        <f>IFERROR(GETPIVOTDATA("Anzahl von Tshirt Size",'Jira Input'!K6,"Tshirt Size",$B23),"-")</f>
        <v>-</v>
      </c>
      <c r="D23" s="150"/>
      <c r="E23" s="151" t="str">
        <f>IFERROR($C23*VLOOKUP(B23,Projektkonfiguration!$B$10:$D$14,2,FALSE),"-")</f>
        <v>-</v>
      </c>
      <c r="F23" s="151"/>
      <c r="G23" s="152"/>
    </row>
    <row r="24" spans="2:7" x14ac:dyDescent="0.2">
      <c r="B24" s="22" t="s">
        <v>26</v>
      </c>
      <c r="C24" s="150" t="str">
        <f>IFERROR(GETPIVOTDATA("Anzahl von Tshirt Size",'Jira Input'!K7,"Tshirt Size",$B24),"-")</f>
        <v>-</v>
      </c>
      <c r="D24" s="150"/>
      <c r="E24" s="151" t="str">
        <f>IFERROR($C24*VLOOKUP(B24,Projektkonfiguration!$B$10:$D$14,2,FALSE),"-")</f>
        <v>-</v>
      </c>
      <c r="F24" s="151"/>
      <c r="G24" s="152"/>
    </row>
    <row r="25" spans="2:7" x14ac:dyDescent="0.2">
      <c r="B25" s="22" t="s">
        <v>27</v>
      </c>
      <c r="C25" s="150" t="str">
        <f>IFERROR(GETPIVOTDATA("Anzahl von Tshirt Size",'Jira Input'!K8,"Tshirt Size",$B25),"-")</f>
        <v>-</v>
      </c>
      <c r="D25" s="150"/>
      <c r="E25" s="151" t="str">
        <f>IFERROR($C25*VLOOKUP(B25,Projektkonfiguration!$B$10:$D$14,2,FALSE),"-")</f>
        <v>-</v>
      </c>
      <c r="F25" s="151"/>
      <c r="G25" s="152"/>
    </row>
    <row r="26" spans="2:7" x14ac:dyDescent="0.2">
      <c r="B26" s="22" t="s">
        <v>32</v>
      </c>
      <c r="C26" s="150" t="str">
        <f>IFERROR(GETPIVOTDATA("Anzahl von Tshirt Size",'Jira Input'!K9,"Tshirt Size",$B26),"-")</f>
        <v>-</v>
      </c>
      <c r="D26" s="150"/>
      <c r="E26" s="151" t="str">
        <f>IFERROR($C26*VLOOKUP(B26,Projektkonfiguration!$B$10:$D$14,2,FALSE),"-")</f>
        <v>-</v>
      </c>
      <c r="F26" s="151"/>
      <c r="G26" s="152"/>
    </row>
    <row r="27" spans="2:7" ht="20" thickBot="1" x14ac:dyDescent="0.3">
      <c r="B27" s="28"/>
      <c r="C27" s="29"/>
      <c r="D27" s="66" t="s">
        <v>94</v>
      </c>
      <c r="E27" s="166">
        <f>SUM(E22:G26)</f>
        <v>0</v>
      </c>
      <c r="F27" s="166"/>
      <c r="G27" s="167"/>
    </row>
    <row r="29" spans="2:7" ht="17" thickBot="1" x14ac:dyDescent="0.25"/>
    <row r="30" spans="2:7" ht="22" x14ac:dyDescent="0.3">
      <c r="B30" s="59" t="s">
        <v>95</v>
      </c>
      <c r="C30" s="60"/>
      <c r="D30" s="60"/>
      <c r="E30" s="60"/>
      <c r="F30" s="60"/>
      <c r="G30" s="61"/>
    </row>
    <row r="31" spans="2:7" ht="23" thickBot="1" x14ac:dyDescent="0.35">
      <c r="B31" s="62"/>
      <c r="G31" s="27"/>
    </row>
    <row r="32" spans="2:7" ht="22" x14ac:dyDescent="0.3">
      <c r="B32" s="50" t="s">
        <v>96</v>
      </c>
      <c r="C32" s="20"/>
      <c r="D32" s="21"/>
      <c r="G32" s="27"/>
    </row>
    <row r="33" spans="2:7" x14ac:dyDescent="0.2">
      <c r="B33" s="132" t="s">
        <v>97</v>
      </c>
      <c r="C33" s="95"/>
      <c r="D33" s="133"/>
      <c r="G33" s="27"/>
    </row>
    <row r="34" spans="2:7" x14ac:dyDescent="0.2">
      <c r="B34" s="132"/>
      <c r="C34" s="95"/>
      <c r="D34" s="133"/>
      <c r="G34" s="27"/>
    </row>
    <row r="35" spans="2:7" x14ac:dyDescent="0.2">
      <c r="B35" s="55" t="s">
        <v>92</v>
      </c>
      <c r="C35" s="56" t="s">
        <v>93</v>
      </c>
      <c r="D35" s="57" t="s">
        <v>35</v>
      </c>
      <c r="G35" s="27"/>
    </row>
    <row r="36" spans="2:7" x14ac:dyDescent="0.2">
      <c r="B36" s="22" t="s">
        <v>20</v>
      </c>
      <c r="C36" t="str">
        <f>IFERROR(GETPIVOTDATA("Anzahl von Tshirt Size",'Jira Input'!$K$5,"Externe Story","ja","Tshirt Size",B36),"0")</f>
        <v>0</v>
      </c>
      <c r="D36" s="84">
        <f>$C36*VLOOKUP(B36,Projektkonfiguration!$B$10:$D$14,3,FALSE)</f>
        <v>0</v>
      </c>
      <c r="G36" s="27"/>
    </row>
    <row r="37" spans="2:7" x14ac:dyDescent="0.2">
      <c r="B37" s="22" t="s">
        <v>21</v>
      </c>
      <c r="C37" s="67" t="str">
        <f>IFERROR(GETPIVOTDATA("Anzahl von Tshirt Size",'Jira Input'!$K$5,"Externe Story","ja","Tshirt Size",B37),"0")</f>
        <v>0</v>
      </c>
      <c r="D37" s="84">
        <f>$C37*VLOOKUP(B37,Projektkonfiguration!$B$10:$D$14,3,FALSE)</f>
        <v>0</v>
      </c>
      <c r="G37" s="27"/>
    </row>
    <row r="38" spans="2:7" x14ac:dyDescent="0.2">
      <c r="B38" s="22" t="s">
        <v>26</v>
      </c>
      <c r="C38" t="str">
        <f>IFERROR(GETPIVOTDATA("Anzahl von Tshirt Size",'Jira Input'!$K$5,"Externe Story","ja","Tshirt Size",B38),"0")</f>
        <v>0</v>
      </c>
      <c r="D38" s="84">
        <f>$C38*VLOOKUP(B38,Projektkonfiguration!$B$10:$D$14,3,FALSE)</f>
        <v>0</v>
      </c>
      <c r="G38" s="27"/>
    </row>
    <row r="39" spans="2:7" x14ac:dyDescent="0.2">
      <c r="B39" s="22" t="s">
        <v>27</v>
      </c>
      <c r="C39" s="67" t="str">
        <f>IFERROR(GETPIVOTDATA("Anzahl von Tshirt Size",'Jira Input'!$K$5,"Externe Story","ja","Tshirt Size",B39),"0")</f>
        <v>0</v>
      </c>
      <c r="D39" s="84">
        <f>$C39*VLOOKUP(B39,Projektkonfiguration!$B$10:$D$14,3,FALSE)</f>
        <v>0</v>
      </c>
      <c r="G39" s="27"/>
    </row>
    <row r="40" spans="2:7" x14ac:dyDescent="0.2">
      <c r="B40" s="22" t="s">
        <v>32</v>
      </c>
      <c r="C40" t="str">
        <f>IFERROR(GETPIVOTDATA("Anzahl von Tshirt Size",'Jira Input'!$K$5,"Externe Story","ja","Tshirt Size",B40),"0")</f>
        <v>0</v>
      </c>
      <c r="D40" s="84">
        <f>$C40*VLOOKUP(B40,Projektkonfiguration!$B$10:$D$14,3,FALSE)</f>
        <v>0</v>
      </c>
      <c r="G40" s="27"/>
    </row>
    <row r="41" spans="2:7" ht="20" thickBot="1" x14ac:dyDescent="0.3">
      <c r="B41" s="28"/>
      <c r="C41" s="66" t="s">
        <v>94</v>
      </c>
      <c r="D41" s="85">
        <f>SUM(D36:D40)</f>
        <v>0</v>
      </c>
      <c r="G41" s="27"/>
    </row>
    <row r="42" spans="2:7" x14ac:dyDescent="0.2">
      <c r="B42" s="22"/>
      <c r="G42" s="27"/>
    </row>
    <row r="43" spans="2:7" ht="17" thickBot="1" x14ac:dyDescent="0.25">
      <c r="B43" s="22"/>
      <c r="G43" s="27"/>
    </row>
    <row r="44" spans="2:7" ht="22" x14ac:dyDescent="0.3">
      <c r="B44" s="50" t="s">
        <v>98</v>
      </c>
      <c r="C44" s="20"/>
      <c r="D44" s="21"/>
      <c r="G44" s="27"/>
    </row>
    <row r="45" spans="2:7" x14ac:dyDescent="0.2">
      <c r="B45" s="55" t="s">
        <v>99</v>
      </c>
      <c r="C45" s="56" t="s">
        <v>59</v>
      </c>
      <c r="D45" s="57" t="s">
        <v>35</v>
      </c>
      <c r="G45" s="27"/>
    </row>
    <row r="46" spans="2:7" ht="20" thickBot="1" x14ac:dyDescent="0.3">
      <c r="B46" s="28">
        <f>GETPIVOTDATA("Dauer",'Heimat Input'!$V$12)</f>
        <v>0</v>
      </c>
      <c r="C46" s="58">
        <f>Projektkonfiguration!I14</f>
        <v>112.89</v>
      </c>
      <c r="D46" s="85">
        <f>C46*B46</f>
        <v>0</v>
      </c>
      <c r="G46" s="27"/>
    </row>
    <row r="47" spans="2:7" x14ac:dyDescent="0.2">
      <c r="B47" s="22"/>
      <c r="G47" s="27"/>
    </row>
    <row r="48" spans="2:7" ht="17" thickBot="1" x14ac:dyDescent="0.25">
      <c r="B48" s="22"/>
      <c r="G48" s="27"/>
    </row>
    <row r="49" spans="2:7" ht="23" thickBot="1" x14ac:dyDescent="0.35">
      <c r="B49" s="36" t="s">
        <v>100</v>
      </c>
      <c r="C49" s="154">
        <f>D46+D41</f>
        <v>0</v>
      </c>
      <c r="D49" s="155"/>
      <c r="G49" s="27"/>
    </row>
    <row r="50" spans="2:7" x14ac:dyDescent="0.2">
      <c r="B50" s="22"/>
      <c r="G50" s="27"/>
    </row>
    <row r="51" spans="2:7" ht="17" thickBot="1" x14ac:dyDescent="0.25">
      <c r="B51" s="28"/>
      <c r="C51" s="29"/>
      <c r="D51" s="29"/>
      <c r="E51" s="29"/>
      <c r="F51" s="29"/>
      <c r="G51" s="30"/>
    </row>
  </sheetData>
  <mergeCells count="25">
    <mergeCell ref="P5:R6"/>
    <mergeCell ref="S5:S6"/>
    <mergeCell ref="T5:T6"/>
    <mergeCell ref="C49:D49"/>
    <mergeCell ref="C21:D21"/>
    <mergeCell ref="E21:G21"/>
    <mergeCell ref="C22:D22"/>
    <mergeCell ref="C23:D23"/>
    <mergeCell ref="C24:D24"/>
    <mergeCell ref="C25:D25"/>
    <mergeCell ref="B5:E6"/>
    <mergeCell ref="E25:G25"/>
    <mergeCell ref="E26:G26"/>
    <mergeCell ref="J10:T10"/>
    <mergeCell ref="J11:T14"/>
    <mergeCell ref="E27:G27"/>
    <mergeCell ref="B1:E2"/>
    <mergeCell ref="B33:D34"/>
    <mergeCell ref="J5:M6"/>
    <mergeCell ref="N5:N6"/>
    <mergeCell ref="O5:O6"/>
    <mergeCell ref="C26:D26"/>
    <mergeCell ref="E22:G22"/>
    <mergeCell ref="E23:G23"/>
    <mergeCell ref="E24:G24"/>
  </mergeCells>
  <conditionalFormatting sqref="F8:G15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54CF-271D-3D4F-A8FE-B0844B15E96F}">
  <dimension ref="A1:W155"/>
  <sheetViews>
    <sheetView workbookViewId="0">
      <selection activeCell="J21" sqref="J21"/>
    </sheetView>
  </sheetViews>
  <sheetFormatPr baseColWidth="10" defaultColWidth="11" defaultRowHeight="16" x14ac:dyDescent="0.2"/>
  <cols>
    <col min="6" max="6" width="22" customWidth="1"/>
    <col min="7" max="7" width="11.1640625" customWidth="1"/>
    <col min="8" max="8" width="12.5" bestFit="1" customWidth="1"/>
    <col min="9" max="9" width="12.6640625" bestFit="1" customWidth="1"/>
    <col min="22" max="22" width="21.33203125" bestFit="1" customWidth="1"/>
    <col min="23" max="23" width="16" bestFit="1" customWidth="1"/>
    <col min="24" max="24" width="17.1640625" bestFit="1" customWidth="1"/>
    <col min="26" max="26" width="21.33203125" bestFit="1" customWidth="1"/>
    <col min="27" max="27" width="16" bestFit="1" customWidth="1"/>
  </cols>
  <sheetData>
    <row r="1" spans="1:23" ht="22" x14ac:dyDescent="0.3">
      <c r="C1" s="91" t="s">
        <v>101</v>
      </c>
      <c r="D1" s="91"/>
      <c r="E1" s="91"/>
      <c r="F1" s="91"/>
      <c r="G1" s="91"/>
    </row>
    <row r="2" spans="1:23" x14ac:dyDescent="0.2">
      <c r="A2" s="19"/>
      <c r="C2" s="92" t="s">
        <v>102</v>
      </c>
      <c r="D2" s="93"/>
      <c r="E2" s="93"/>
      <c r="F2" s="93"/>
      <c r="G2" s="93"/>
    </row>
    <row r="3" spans="1:23" x14ac:dyDescent="0.2">
      <c r="A3" s="19"/>
      <c r="C3" s="93"/>
      <c r="D3" s="93"/>
      <c r="E3" s="93"/>
      <c r="F3" s="93"/>
      <c r="G3" s="93"/>
    </row>
    <row r="4" spans="1:23" x14ac:dyDescent="0.2">
      <c r="A4" s="14" t="s">
        <v>103</v>
      </c>
      <c r="B4" s="15" t="s">
        <v>104</v>
      </c>
      <c r="C4" s="14" t="s">
        <v>105</v>
      </c>
      <c r="D4" s="14" t="s">
        <v>106</v>
      </c>
      <c r="E4" s="14" t="s">
        <v>107</v>
      </c>
      <c r="F4" s="14" t="s">
        <v>108</v>
      </c>
      <c r="G4" s="14" t="s">
        <v>109</v>
      </c>
      <c r="H4" s="9"/>
      <c r="I4" s="9"/>
      <c r="J4" s="9"/>
      <c r="V4" s="94" t="s">
        <v>110</v>
      </c>
      <c r="W4" s="95"/>
    </row>
    <row r="5" spans="1:23" x14ac:dyDescent="0.2">
      <c r="A5" s="19"/>
      <c r="B5" s="89"/>
      <c r="I5" s="10"/>
      <c r="V5" s="95"/>
      <c r="W5" s="95"/>
    </row>
    <row r="6" spans="1:23" ht="16" customHeight="1" x14ac:dyDescent="0.2">
      <c r="A6" s="19"/>
      <c r="B6" s="89"/>
      <c r="I6" s="10"/>
      <c r="V6" s="95"/>
      <c r="W6" s="95"/>
    </row>
    <row r="7" spans="1:23" x14ac:dyDescent="0.2">
      <c r="A7" s="19"/>
      <c r="B7" s="89"/>
      <c r="I7" s="10"/>
      <c r="V7" s="95"/>
      <c r="W7" s="95"/>
    </row>
    <row r="8" spans="1:23" x14ac:dyDescent="0.2">
      <c r="A8" s="19"/>
      <c r="B8" s="89"/>
      <c r="I8" s="10"/>
      <c r="V8" s="95"/>
      <c r="W8" s="95"/>
    </row>
    <row r="9" spans="1:23" x14ac:dyDescent="0.2">
      <c r="A9" s="19"/>
      <c r="B9" s="89"/>
      <c r="I9" s="10"/>
      <c r="V9" s="95"/>
      <c r="W9" s="95"/>
    </row>
    <row r="10" spans="1:23" x14ac:dyDescent="0.2">
      <c r="A10" s="19"/>
      <c r="B10" s="89"/>
      <c r="I10" s="10"/>
    </row>
    <row r="11" spans="1:23" x14ac:dyDescent="0.2">
      <c r="A11" s="19"/>
      <c r="B11" s="89"/>
      <c r="I11" s="10"/>
    </row>
    <row r="12" spans="1:23" x14ac:dyDescent="0.2">
      <c r="A12" s="19"/>
      <c r="B12" s="89"/>
      <c r="I12" s="10"/>
      <c r="V12" s="4" t="s">
        <v>111</v>
      </c>
      <c r="W12" t="s">
        <v>112</v>
      </c>
    </row>
    <row r="13" spans="1:23" x14ac:dyDescent="0.2">
      <c r="A13" s="19"/>
      <c r="B13" s="89"/>
      <c r="I13" s="10"/>
      <c r="V13" s="5" t="s">
        <v>113</v>
      </c>
      <c r="W13" s="170"/>
    </row>
    <row r="14" spans="1:23" x14ac:dyDescent="0.2">
      <c r="A14" s="19"/>
      <c r="B14" s="89"/>
      <c r="I14" s="10"/>
      <c r="V14" s="5" t="s">
        <v>114</v>
      </c>
      <c r="W14" s="170"/>
    </row>
    <row r="15" spans="1:23" x14ac:dyDescent="0.2">
      <c r="A15" s="19"/>
      <c r="B15" s="89"/>
      <c r="I15" s="10"/>
    </row>
    <row r="16" spans="1:23" x14ac:dyDescent="0.2">
      <c r="A16" s="19"/>
      <c r="B16" s="89"/>
      <c r="I16" s="10"/>
    </row>
    <row r="17" spans="2:9" x14ac:dyDescent="0.2">
      <c r="B17" s="89"/>
      <c r="I17" s="10"/>
    </row>
    <row r="18" spans="2:9" x14ac:dyDescent="0.2">
      <c r="B18" s="89"/>
      <c r="I18" s="10"/>
    </row>
    <row r="19" spans="2:9" x14ac:dyDescent="0.2">
      <c r="B19" s="89"/>
      <c r="I19" s="10"/>
    </row>
    <row r="20" spans="2:9" x14ac:dyDescent="0.2">
      <c r="B20" s="89"/>
      <c r="I20" s="10"/>
    </row>
    <row r="21" spans="2:9" x14ac:dyDescent="0.2">
      <c r="B21" s="89"/>
      <c r="I21" s="10"/>
    </row>
    <row r="22" spans="2:9" x14ac:dyDescent="0.2">
      <c r="B22" s="89"/>
      <c r="I22" s="10"/>
    </row>
    <row r="23" spans="2:9" x14ac:dyDescent="0.2">
      <c r="B23" s="89"/>
      <c r="I23" s="10"/>
    </row>
    <row r="24" spans="2:9" x14ac:dyDescent="0.2">
      <c r="B24" s="89"/>
      <c r="I24" s="10"/>
    </row>
    <row r="25" spans="2:9" x14ac:dyDescent="0.2">
      <c r="B25" s="89"/>
      <c r="I25" s="10"/>
    </row>
    <row r="26" spans="2:9" x14ac:dyDescent="0.2">
      <c r="B26" s="89"/>
      <c r="I26" s="10"/>
    </row>
    <row r="27" spans="2:9" x14ac:dyDescent="0.2">
      <c r="B27" s="89"/>
      <c r="I27" s="10"/>
    </row>
    <row r="28" spans="2:9" x14ac:dyDescent="0.2">
      <c r="B28" s="89"/>
      <c r="I28" s="10"/>
    </row>
    <row r="29" spans="2:9" x14ac:dyDescent="0.2">
      <c r="B29" s="89"/>
      <c r="I29" s="10"/>
    </row>
    <row r="30" spans="2:9" x14ac:dyDescent="0.2">
      <c r="B30" s="89"/>
      <c r="I30" s="10"/>
    </row>
    <row r="31" spans="2:9" x14ac:dyDescent="0.2">
      <c r="B31" s="89"/>
      <c r="I31" s="10"/>
    </row>
    <row r="32" spans="2:9" x14ac:dyDescent="0.2">
      <c r="B32" s="89"/>
      <c r="I32" s="10"/>
    </row>
    <row r="33" spans="2:9" x14ac:dyDescent="0.2">
      <c r="B33" s="89"/>
      <c r="I33" s="10"/>
    </row>
    <row r="34" spans="2:9" x14ac:dyDescent="0.2">
      <c r="B34" s="89"/>
      <c r="I34" s="10"/>
    </row>
    <row r="35" spans="2:9" x14ac:dyDescent="0.2">
      <c r="B35" s="89"/>
      <c r="I35" s="10"/>
    </row>
    <row r="36" spans="2:9" x14ac:dyDescent="0.2">
      <c r="B36" s="89"/>
      <c r="I36" s="10"/>
    </row>
    <row r="37" spans="2:9" x14ac:dyDescent="0.2">
      <c r="B37" s="89"/>
      <c r="I37" s="10"/>
    </row>
    <row r="38" spans="2:9" x14ac:dyDescent="0.2">
      <c r="B38" s="89"/>
      <c r="I38" s="10"/>
    </row>
    <row r="39" spans="2:9" x14ac:dyDescent="0.2">
      <c r="B39" s="89"/>
      <c r="I39" s="10"/>
    </row>
    <row r="40" spans="2:9" x14ac:dyDescent="0.2">
      <c r="B40" s="89"/>
      <c r="I40" s="10"/>
    </row>
    <row r="41" spans="2:9" x14ac:dyDescent="0.2">
      <c r="B41" s="89"/>
      <c r="I41" s="10"/>
    </row>
    <row r="42" spans="2:9" x14ac:dyDescent="0.2">
      <c r="B42" s="89"/>
      <c r="I42" s="10"/>
    </row>
    <row r="43" spans="2:9" x14ac:dyDescent="0.2">
      <c r="B43" s="89"/>
      <c r="I43" s="10"/>
    </row>
    <row r="44" spans="2:9" x14ac:dyDescent="0.2">
      <c r="B44" s="89"/>
      <c r="I44" s="10"/>
    </row>
    <row r="45" spans="2:9" x14ac:dyDescent="0.2">
      <c r="B45" s="89"/>
      <c r="I45" s="10"/>
    </row>
    <row r="46" spans="2:9" x14ac:dyDescent="0.2">
      <c r="B46" s="89"/>
      <c r="I46" s="10"/>
    </row>
    <row r="47" spans="2:9" x14ac:dyDescent="0.2">
      <c r="B47" s="89"/>
      <c r="I47" s="10"/>
    </row>
    <row r="48" spans="2:9" x14ac:dyDescent="0.2">
      <c r="B48" s="89"/>
      <c r="I48" s="10"/>
    </row>
    <row r="49" spans="2:9" x14ac:dyDescent="0.2">
      <c r="B49" s="89"/>
      <c r="I49" s="10"/>
    </row>
    <row r="50" spans="2:9" x14ac:dyDescent="0.2">
      <c r="B50" s="89"/>
      <c r="I50" s="10"/>
    </row>
    <row r="51" spans="2:9" x14ac:dyDescent="0.2">
      <c r="B51" s="89"/>
      <c r="I51" s="10"/>
    </row>
    <row r="52" spans="2:9" x14ac:dyDescent="0.2">
      <c r="B52" s="89"/>
      <c r="I52" s="10"/>
    </row>
    <row r="53" spans="2:9" x14ac:dyDescent="0.2">
      <c r="B53" s="89"/>
      <c r="I53" s="10"/>
    </row>
    <row r="54" spans="2:9" x14ac:dyDescent="0.2">
      <c r="B54" s="89"/>
      <c r="I54" s="10"/>
    </row>
    <row r="55" spans="2:9" x14ac:dyDescent="0.2">
      <c r="B55" s="89"/>
      <c r="I55" s="10"/>
    </row>
    <row r="56" spans="2:9" x14ac:dyDescent="0.2">
      <c r="B56" s="89"/>
      <c r="I56" s="10"/>
    </row>
    <row r="57" spans="2:9" x14ac:dyDescent="0.2">
      <c r="B57" s="89"/>
      <c r="I57" s="10"/>
    </row>
    <row r="58" spans="2:9" x14ac:dyDescent="0.2">
      <c r="B58" s="89"/>
      <c r="I58" s="10"/>
    </row>
    <row r="59" spans="2:9" x14ac:dyDescent="0.2">
      <c r="B59" s="89"/>
      <c r="I59" s="10"/>
    </row>
    <row r="60" spans="2:9" x14ac:dyDescent="0.2">
      <c r="B60" s="89"/>
      <c r="I60" s="10"/>
    </row>
    <row r="61" spans="2:9" x14ac:dyDescent="0.2">
      <c r="B61" s="89"/>
      <c r="I61" s="10"/>
    </row>
    <row r="62" spans="2:9" x14ac:dyDescent="0.2">
      <c r="B62" s="89"/>
      <c r="I62" s="10"/>
    </row>
    <row r="63" spans="2:9" x14ac:dyDescent="0.2">
      <c r="B63" s="89"/>
      <c r="I63" s="10"/>
    </row>
    <row r="64" spans="2:9" x14ac:dyDescent="0.2">
      <c r="B64" s="89"/>
      <c r="I64" s="10"/>
    </row>
    <row r="65" spans="2:9" x14ac:dyDescent="0.2">
      <c r="B65" s="89"/>
      <c r="I65" s="10"/>
    </row>
    <row r="66" spans="2:9" x14ac:dyDescent="0.2">
      <c r="B66" s="89"/>
      <c r="I66" s="10"/>
    </row>
    <row r="67" spans="2:9" x14ac:dyDescent="0.2">
      <c r="B67" s="89"/>
      <c r="I67" s="10"/>
    </row>
    <row r="68" spans="2:9" x14ac:dyDescent="0.2">
      <c r="B68" s="89"/>
      <c r="I68" s="10"/>
    </row>
    <row r="69" spans="2:9" x14ac:dyDescent="0.2">
      <c r="B69" s="89"/>
      <c r="I69" s="10"/>
    </row>
    <row r="70" spans="2:9" x14ac:dyDescent="0.2">
      <c r="B70" s="89"/>
      <c r="I70" s="10"/>
    </row>
    <row r="71" spans="2:9" x14ac:dyDescent="0.2">
      <c r="B71" s="89"/>
      <c r="I71" s="10"/>
    </row>
    <row r="72" spans="2:9" x14ac:dyDescent="0.2">
      <c r="B72" s="89"/>
      <c r="I72" s="10"/>
    </row>
    <row r="73" spans="2:9" x14ac:dyDescent="0.2">
      <c r="B73" s="89"/>
      <c r="I73" s="10"/>
    </row>
    <row r="74" spans="2:9" x14ac:dyDescent="0.2">
      <c r="B74" s="89"/>
      <c r="I74" s="10"/>
    </row>
    <row r="75" spans="2:9" x14ac:dyDescent="0.2">
      <c r="B75" s="89"/>
      <c r="I75" s="10"/>
    </row>
    <row r="76" spans="2:9" x14ac:dyDescent="0.2">
      <c r="B76" s="89"/>
      <c r="I76" s="10"/>
    </row>
    <row r="77" spans="2:9" x14ac:dyDescent="0.2">
      <c r="B77" s="89"/>
      <c r="I77" s="10"/>
    </row>
    <row r="78" spans="2:9" x14ac:dyDescent="0.2">
      <c r="B78" s="89"/>
      <c r="I78" s="10"/>
    </row>
    <row r="79" spans="2:9" x14ac:dyDescent="0.2">
      <c r="B79" s="89"/>
      <c r="I79" s="10"/>
    </row>
    <row r="80" spans="2:9" x14ac:dyDescent="0.2">
      <c r="B80" s="89"/>
      <c r="I80" s="10"/>
    </row>
    <row r="81" spans="1:9" x14ac:dyDescent="0.2">
      <c r="B81" s="89"/>
      <c r="I81" s="10"/>
    </row>
    <row r="82" spans="1:9" x14ac:dyDescent="0.2">
      <c r="B82" s="89"/>
      <c r="I82" s="10"/>
    </row>
    <row r="83" spans="1:9" x14ac:dyDescent="0.2">
      <c r="B83" s="89"/>
      <c r="I83" s="10"/>
    </row>
    <row r="84" spans="1:9" x14ac:dyDescent="0.2">
      <c r="B84" s="89"/>
      <c r="I84" s="10"/>
    </row>
    <row r="85" spans="1:9" x14ac:dyDescent="0.2">
      <c r="A85" s="12"/>
      <c r="B85" s="16"/>
      <c r="C85" s="12"/>
      <c r="D85" s="12"/>
      <c r="E85" s="12"/>
      <c r="F85" s="12"/>
      <c r="G85" s="12"/>
      <c r="I85" s="10"/>
    </row>
    <row r="86" spans="1:9" x14ac:dyDescent="0.2">
      <c r="A86" s="12"/>
      <c r="B86" s="16"/>
      <c r="C86" s="12"/>
      <c r="D86" s="12"/>
      <c r="E86" s="12"/>
      <c r="F86" s="12"/>
      <c r="G86" s="12"/>
      <c r="I86" s="10"/>
    </row>
    <row r="87" spans="1:9" x14ac:dyDescent="0.2">
      <c r="A87" s="12"/>
      <c r="B87" s="16"/>
      <c r="C87" s="12"/>
      <c r="D87" s="12"/>
      <c r="E87" s="12"/>
      <c r="F87" s="12"/>
      <c r="G87" s="12"/>
      <c r="I87" s="10"/>
    </row>
    <row r="88" spans="1:9" x14ac:dyDescent="0.2">
      <c r="A88" s="12"/>
      <c r="B88" s="16"/>
      <c r="C88" s="12"/>
      <c r="D88" s="12"/>
      <c r="E88" s="12"/>
      <c r="F88" s="12"/>
      <c r="G88" s="12"/>
      <c r="I88" s="10"/>
    </row>
    <row r="89" spans="1:9" x14ac:dyDescent="0.2">
      <c r="A89" s="12"/>
      <c r="B89" s="16"/>
      <c r="C89" s="12"/>
      <c r="D89" s="12"/>
      <c r="E89" s="12"/>
      <c r="F89" s="12"/>
      <c r="G89" s="12"/>
      <c r="I89" s="10"/>
    </row>
    <row r="90" spans="1:9" x14ac:dyDescent="0.2">
      <c r="A90" s="12"/>
      <c r="B90" s="16"/>
      <c r="C90" s="12"/>
      <c r="D90" s="12"/>
      <c r="E90" s="12"/>
      <c r="F90" s="12"/>
      <c r="G90" s="12"/>
      <c r="I90" s="10"/>
    </row>
    <row r="91" spans="1:9" x14ac:dyDescent="0.2">
      <c r="A91" s="12"/>
      <c r="B91" s="16"/>
      <c r="C91" s="12"/>
      <c r="D91" s="12"/>
      <c r="E91" s="12"/>
      <c r="F91" s="12"/>
      <c r="G91" s="12"/>
      <c r="I91" s="10"/>
    </row>
    <row r="92" spans="1:9" x14ac:dyDescent="0.2">
      <c r="A92" s="12"/>
      <c r="B92" s="16"/>
      <c r="C92" s="12"/>
      <c r="D92" s="12"/>
      <c r="E92" s="12"/>
      <c r="F92" s="12"/>
      <c r="G92" s="12"/>
      <c r="I92" s="10"/>
    </row>
    <row r="93" spans="1:9" x14ac:dyDescent="0.2">
      <c r="A93" s="12"/>
      <c r="B93" s="16"/>
      <c r="C93" s="12"/>
      <c r="D93" s="12"/>
      <c r="E93" s="12"/>
      <c r="F93" s="12"/>
      <c r="G93" s="12"/>
      <c r="I93" s="10"/>
    </row>
    <row r="94" spans="1:9" x14ac:dyDescent="0.2">
      <c r="A94" s="12"/>
      <c r="B94" s="16"/>
      <c r="C94" s="12"/>
      <c r="D94" s="12"/>
      <c r="E94" s="12"/>
      <c r="F94" s="12"/>
      <c r="G94" s="12"/>
      <c r="I94" s="10"/>
    </row>
    <row r="95" spans="1:9" x14ac:dyDescent="0.2">
      <c r="A95" s="12"/>
      <c r="B95" s="16"/>
      <c r="C95" s="12"/>
      <c r="D95" s="12"/>
      <c r="E95" s="12"/>
      <c r="F95" s="12"/>
      <c r="G95" s="12"/>
      <c r="I95" s="10"/>
    </row>
    <row r="96" spans="1:9" x14ac:dyDescent="0.2">
      <c r="A96" s="12"/>
      <c r="B96" s="16"/>
      <c r="C96" s="12"/>
      <c r="D96" s="12"/>
      <c r="E96" s="12"/>
      <c r="F96" s="12"/>
      <c r="G96" s="12"/>
      <c r="I96" s="10"/>
    </row>
    <row r="97" spans="1:9" x14ac:dyDescent="0.2">
      <c r="A97" s="12"/>
      <c r="B97" s="16"/>
      <c r="C97" s="12"/>
      <c r="D97" s="12"/>
      <c r="E97" s="12"/>
      <c r="F97" s="12"/>
      <c r="G97" s="12"/>
      <c r="I97" s="10"/>
    </row>
    <row r="98" spans="1:9" x14ac:dyDescent="0.2">
      <c r="A98" s="12"/>
      <c r="B98" s="16"/>
      <c r="C98" s="12"/>
      <c r="D98" s="12"/>
      <c r="E98" s="12"/>
      <c r="F98" s="12"/>
      <c r="G98" s="12"/>
      <c r="I98" s="10"/>
    </row>
    <row r="99" spans="1:9" x14ac:dyDescent="0.2">
      <c r="A99" s="12"/>
      <c r="B99" s="16"/>
      <c r="C99" s="12"/>
      <c r="D99" s="12"/>
      <c r="E99" s="12"/>
      <c r="F99" s="12"/>
      <c r="G99" s="12"/>
      <c r="I99" s="10"/>
    </row>
    <row r="100" spans="1:9" x14ac:dyDescent="0.2">
      <c r="A100" s="12"/>
      <c r="B100" s="16"/>
      <c r="C100" s="12"/>
      <c r="D100" s="12"/>
      <c r="E100" s="12"/>
      <c r="F100" s="12"/>
      <c r="G100" s="12"/>
      <c r="I100" s="10"/>
    </row>
    <row r="101" spans="1:9" x14ac:dyDescent="0.2">
      <c r="A101" s="12"/>
      <c r="B101" s="16"/>
      <c r="C101" s="12"/>
      <c r="D101" s="12"/>
      <c r="E101" s="12"/>
      <c r="F101" s="12"/>
      <c r="G101" s="12"/>
      <c r="I101" s="10"/>
    </row>
    <row r="102" spans="1:9" x14ac:dyDescent="0.2">
      <c r="A102" s="12"/>
      <c r="B102" s="16"/>
      <c r="C102" s="12"/>
      <c r="D102" s="12"/>
      <c r="E102" s="12"/>
      <c r="F102" s="12"/>
      <c r="G102" s="12"/>
      <c r="I102" s="10"/>
    </row>
    <row r="103" spans="1:9" x14ac:dyDescent="0.2">
      <c r="A103" s="12"/>
      <c r="B103" s="16"/>
      <c r="C103" s="12"/>
      <c r="D103" s="12"/>
      <c r="E103" s="12"/>
      <c r="F103" s="12"/>
      <c r="G103" s="12"/>
      <c r="I103" s="10"/>
    </row>
    <row r="104" spans="1:9" x14ac:dyDescent="0.2">
      <c r="A104" s="12"/>
      <c r="B104" s="16"/>
      <c r="C104" s="12"/>
      <c r="D104" s="12"/>
      <c r="E104" s="12"/>
      <c r="F104" s="12"/>
      <c r="G104" s="12"/>
      <c r="I104" s="10"/>
    </row>
    <row r="105" spans="1:9" x14ac:dyDescent="0.2">
      <c r="A105" s="12"/>
      <c r="B105" s="16"/>
      <c r="C105" s="12"/>
      <c r="D105" s="12"/>
      <c r="E105" s="12"/>
      <c r="F105" s="12"/>
      <c r="G105" s="12"/>
      <c r="I105" s="10"/>
    </row>
    <row r="106" spans="1:9" x14ac:dyDescent="0.2">
      <c r="A106" s="12"/>
      <c r="B106" s="16"/>
      <c r="C106" s="12"/>
      <c r="D106" s="12"/>
      <c r="E106" s="12"/>
      <c r="F106" s="12"/>
      <c r="G106" s="12"/>
      <c r="I106" s="10"/>
    </row>
    <row r="107" spans="1:9" x14ac:dyDescent="0.2">
      <c r="A107" s="12"/>
      <c r="B107" s="16"/>
      <c r="C107" s="12"/>
      <c r="D107" s="12"/>
      <c r="E107" s="12"/>
      <c r="F107" s="12"/>
      <c r="G107" s="12"/>
      <c r="I107" s="10"/>
    </row>
    <row r="108" spans="1:9" x14ac:dyDescent="0.2">
      <c r="A108" s="12"/>
      <c r="B108" s="16"/>
      <c r="C108" s="12"/>
      <c r="D108" s="12"/>
      <c r="E108" s="12"/>
      <c r="F108" s="12"/>
      <c r="G108" s="12"/>
      <c r="I108" s="10"/>
    </row>
    <row r="109" spans="1:9" x14ac:dyDescent="0.2">
      <c r="A109" s="12"/>
      <c r="B109" s="16"/>
      <c r="C109" s="12"/>
      <c r="D109" s="12"/>
      <c r="E109" s="12"/>
      <c r="F109" s="12"/>
      <c r="G109" s="12"/>
      <c r="I109" s="10"/>
    </row>
    <row r="110" spans="1:9" x14ac:dyDescent="0.2">
      <c r="A110" s="12"/>
      <c r="B110" s="16"/>
      <c r="C110" s="12"/>
      <c r="D110" s="12"/>
      <c r="E110" s="12"/>
      <c r="F110" s="12"/>
      <c r="G110" s="12"/>
      <c r="I110" s="10"/>
    </row>
    <row r="111" spans="1:9" x14ac:dyDescent="0.2">
      <c r="A111" s="12"/>
      <c r="B111" s="16"/>
      <c r="C111" s="12"/>
      <c r="D111" s="12"/>
      <c r="E111" s="12"/>
      <c r="F111" s="12"/>
      <c r="G111" s="12"/>
      <c r="I111" s="10"/>
    </row>
    <row r="112" spans="1:9" x14ac:dyDescent="0.2">
      <c r="A112" s="12"/>
      <c r="B112" s="16"/>
      <c r="C112" s="12"/>
      <c r="D112" s="12"/>
      <c r="E112" s="12"/>
      <c r="F112" s="12"/>
      <c r="G112" s="12"/>
      <c r="I112" s="10"/>
    </row>
    <row r="113" spans="1:9" x14ac:dyDescent="0.2">
      <c r="A113" s="12"/>
      <c r="B113" s="16"/>
      <c r="C113" s="12"/>
      <c r="D113" s="12"/>
      <c r="E113" s="12"/>
      <c r="F113" s="12"/>
      <c r="G113" s="12"/>
      <c r="I113" s="10"/>
    </row>
    <row r="114" spans="1:9" x14ac:dyDescent="0.2">
      <c r="A114" s="12"/>
      <c r="B114" s="16"/>
      <c r="C114" s="12"/>
      <c r="D114" s="12"/>
      <c r="E114" s="12"/>
      <c r="F114" s="12"/>
      <c r="G114" s="12"/>
      <c r="I114" s="10"/>
    </row>
    <row r="115" spans="1:9" x14ac:dyDescent="0.2">
      <c r="A115" s="12"/>
      <c r="B115" s="16"/>
      <c r="C115" s="12"/>
      <c r="D115" s="12"/>
      <c r="E115" s="12"/>
      <c r="F115" s="12"/>
      <c r="G115" s="12"/>
      <c r="I115" s="10"/>
    </row>
    <row r="116" spans="1:9" x14ac:dyDescent="0.2">
      <c r="A116" s="12"/>
      <c r="B116" s="16"/>
      <c r="C116" s="12"/>
      <c r="D116" s="12"/>
      <c r="E116" s="12"/>
      <c r="F116" s="12"/>
      <c r="G116" s="12"/>
      <c r="I116" s="10"/>
    </row>
    <row r="117" spans="1:9" x14ac:dyDescent="0.2">
      <c r="A117" s="12"/>
      <c r="B117" s="16"/>
      <c r="C117" s="12"/>
      <c r="D117" s="12"/>
      <c r="E117" s="12"/>
      <c r="F117" s="12"/>
      <c r="G117" s="12"/>
      <c r="I117" s="10"/>
    </row>
    <row r="118" spans="1:9" x14ac:dyDescent="0.2">
      <c r="A118" s="12"/>
      <c r="B118" s="16"/>
      <c r="C118" s="12"/>
      <c r="D118" s="12"/>
      <c r="E118" s="12"/>
      <c r="F118" s="12"/>
      <c r="G118" s="12"/>
      <c r="I118" s="10"/>
    </row>
    <row r="119" spans="1:9" x14ac:dyDescent="0.2">
      <c r="A119" s="12"/>
      <c r="B119" s="16"/>
      <c r="C119" s="12"/>
      <c r="D119" s="12"/>
      <c r="E119" s="12"/>
      <c r="F119" s="12"/>
      <c r="G119" s="12"/>
      <c r="I119" s="10"/>
    </row>
    <row r="120" spans="1:9" x14ac:dyDescent="0.2">
      <c r="A120" s="12"/>
      <c r="B120" s="16"/>
      <c r="C120" s="12"/>
      <c r="D120" s="12"/>
      <c r="E120" s="12"/>
      <c r="F120" s="12"/>
      <c r="G120" s="12"/>
      <c r="I120" s="10"/>
    </row>
    <row r="121" spans="1:9" x14ac:dyDescent="0.2">
      <c r="A121" s="12"/>
      <c r="B121" s="16"/>
      <c r="C121" s="12"/>
      <c r="D121" s="12"/>
      <c r="E121" s="12"/>
      <c r="F121" s="12"/>
      <c r="G121" s="12"/>
      <c r="I121" s="10"/>
    </row>
    <row r="122" spans="1:9" x14ac:dyDescent="0.2">
      <c r="A122" s="12"/>
      <c r="B122" s="16"/>
      <c r="C122" s="12"/>
      <c r="D122" s="12"/>
      <c r="E122" s="12"/>
      <c r="F122" s="12"/>
      <c r="G122" s="12"/>
      <c r="I122" s="10"/>
    </row>
    <row r="123" spans="1:9" x14ac:dyDescent="0.2">
      <c r="A123" s="12"/>
      <c r="B123" s="16"/>
      <c r="C123" s="12"/>
      <c r="D123" s="12"/>
      <c r="E123" s="12"/>
      <c r="F123" s="12"/>
      <c r="G123" s="12"/>
      <c r="I123" s="10"/>
    </row>
    <row r="124" spans="1:9" x14ac:dyDescent="0.2">
      <c r="A124" s="12"/>
      <c r="B124" s="16"/>
      <c r="C124" s="12"/>
      <c r="D124" s="12"/>
      <c r="E124" s="12"/>
      <c r="F124" s="12"/>
      <c r="G124" s="12"/>
      <c r="I124" s="10"/>
    </row>
    <row r="125" spans="1:9" x14ac:dyDescent="0.2">
      <c r="A125" s="12"/>
      <c r="B125" s="16"/>
      <c r="C125" s="12"/>
      <c r="D125" s="12"/>
      <c r="E125" s="12"/>
      <c r="F125" s="12"/>
      <c r="G125" s="12"/>
      <c r="I125" s="10"/>
    </row>
    <row r="126" spans="1:9" x14ac:dyDescent="0.2">
      <c r="A126" s="12"/>
      <c r="B126" s="16"/>
      <c r="C126" s="12"/>
      <c r="D126" s="12"/>
      <c r="E126" s="12"/>
      <c r="F126" s="12"/>
      <c r="G126" s="12"/>
      <c r="I126" s="10"/>
    </row>
    <row r="127" spans="1:9" x14ac:dyDescent="0.2">
      <c r="A127" s="12"/>
      <c r="B127" s="16"/>
      <c r="C127" s="12"/>
      <c r="D127" s="12"/>
      <c r="E127" s="12"/>
      <c r="F127" s="12"/>
      <c r="G127" s="12"/>
      <c r="I127" s="10"/>
    </row>
    <row r="128" spans="1:9" x14ac:dyDescent="0.2">
      <c r="A128" s="12"/>
      <c r="B128" s="16"/>
      <c r="C128" s="12"/>
      <c r="D128" s="12"/>
      <c r="E128" s="12"/>
      <c r="F128" s="12"/>
      <c r="G128" s="12"/>
      <c r="I128" s="10"/>
    </row>
    <row r="129" spans="1:9" x14ac:dyDescent="0.2">
      <c r="A129" s="12"/>
      <c r="B129" s="16"/>
      <c r="C129" s="12"/>
      <c r="D129" s="12"/>
      <c r="E129" s="12"/>
      <c r="F129" s="12"/>
      <c r="G129" s="12"/>
      <c r="I129" s="10"/>
    </row>
    <row r="130" spans="1:9" x14ac:dyDescent="0.2">
      <c r="A130" s="12"/>
      <c r="B130" s="16"/>
      <c r="C130" s="12"/>
      <c r="D130" s="12"/>
      <c r="E130" s="12"/>
      <c r="F130" s="12"/>
      <c r="G130" s="12"/>
      <c r="I130" s="10"/>
    </row>
    <row r="131" spans="1:9" x14ac:dyDescent="0.2">
      <c r="A131" s="12"/>
      <c r="B131" s="16"/>
      <c r="C131" s="12"/>
      <c r="D131" s="12"/>
      <c r="E131" s="12"/>
      <c r="F131" s="12"/>
      <c r="G131" s="12"/>
      <c r="I131" s="10"/>
    </row>
    <row r="132" spans="1:9" x14ac:dyDescent="0.2">
      <c r="A132" s="12"/>
      <c r="B132" s="16"/>
      <c r="C132" s="12"/>
      <c r="D132" s="12"/>
      <c r="E132" s="12"/>
      <c r="F132" s="12"/>
      <c r="G132" s="12"/>
      <c r="I132" s="10"/>
    </row>
    <row r="133" spans="1:9" x14ac:dyDescent="0.2">
      <c r="A133" s="12"/>
      <c r="B133" s="16"/>
      <c r="C133" s="12"/>
      <c r="D133" s="12"/>
      <c r="E133" s="12"/>
      <c r="F133" s="12"/>
      <c r="G133" s="12"/>
      <c r="I133" s="10"/>
    </row>
    <row r="134" spans="1:9" x14ac:dyDescent="0.2">
      <c r="A134" s="12"/>
      <c r="B134" s="16"/>
      <c r="C134" s="12"/>
      <c r="D134" s="12"/>
      <c r="E134" s="12"/>
      <c r="F134" s="12"/>
      <c r="G134" s="12"/>
      <c r="I134" s="10"/>
    </row>
    <row r="135" spans="1:9" x14ac:dyDescent="0.2">
      <c r="A135" s="12"/>
      <c r="B135" s="16"/>
      <c r="C135" s="12"/>
      <c r="D135" s="12"/>
      <c r="E135" s="12"/>
      <c r="F135" s="12"/>
      <c r="G135" s="12"/>
      <c r="I135" s="10"/>
    </row>
    <row r="136" spans="1:9" x14ac:dyDescent="0.2">
      <c r="A136" s="12"/>
      <c r="B136" s="16"/>
      <c r="C136" s="12"/>
      <c r="D136" s="12"/>
      <c r="E136" s="12"/>
      <c r="F136" s="12"/>
      <c r="G136" s="12"/>
      <c r="I136" s="10"/>
    </row>
    <row r="137" spans="1:9" x14ac:dyDescent="0.2">
      <c r="A137" s="12"/>
      <c r="B137" s="16"/>
      <c r="C137" s="12"/>
      <c r="D137" s="12"/>
      <c r="E137" s="12"/>
      <c r="F137" s="12"/>
      <c r="G137" s="12"/>
      <c r="I137" s="10"/>
    </row>
    <row r="138" spans="1:9" x14ac:dyDescent="0.2">
      <c r="A138" s="12"/>
      <c r="B138" s="16"/>
      <c r="C138" s="12"/>
      <c r="D138" s="12"/>
      <c r="E138" s="12"/>
      <c r="F138" s="12"/>
      <c r="G138" s="12"/>
      <c r="I138" s="10"/>
    </row>
    <row r="139" spans="1:9" x14ac:dyDescent="0.2">
      <c r="A139" s="12"/>
      <c r="B139" s="16"/>
      <c r="C139" s="12"/>
      <c r="D139" s="12"/>
      <c r="E139" s="12"/>
      <c r="F139" s="12"/>
      <c r="G139" s="12"/>
      <c r="I139" s="10"/>
    </row>
    <row r="140" spans="1:9" x14ac:dyDescent="0.2">
      <c r="A140" s="12"/>
      <c r="B140" s="16"/>
      <c r="C140" s="12"/>
      <c r="D140" s="12"/>
      <c r="E140" s="12"/>
      <c r="F140" s="12"/>
      <c r="G140" s="12"/>
      <c r="I140" s="10"/>
    </row>
    <row r="141" spans="1:9" x14ac:dyDescent="0.2">
      <c r="A141" s="12"/>
      <c r="B141" s="16"/>
      <c r="C141" s="12"/>
      <c r="D141" s="12"/>
      <c r="E141" s="12"/>
      <c r="F141" s="12"/>
      <c r="G141" s="12"/>
      <c r="I141" s="10"/>
    </row>
    <row r="142" spans="1:9" x14ac:dyDescent="0.2">
      <c r="A142" s="12"/>
      <c r="B142" s="16"/>
      <c r="C142" s="12"/>
      <c r="D142" s="12"/>
      <c r="E142" s="12"/>
      <c r="F142" s="12"/>
      <c r="G142" s="12"/>
      <c r="I142" s="10"/>
    </row>
    <row r="143" spans="1:9" x14ac:dyDescent="0.2">
      <c r="A143" s="12"/>
      <c r="B143" s="16"/>
      <c r="C143" s="12"/>
      <c r="D143" s="12"/>
      <c r="E143" s="12"/>
      <c r="F143" s="12"/>
      <c r="G143" s="12"/>
      <c r="I143" s="10"/>
    </row>
    <row r="144" spans="1:9" x14ac:dyDescent="0.2">
      <c r="A144" s="12"/>
      <c r="B144" s="16"/>
      <c r="C144" s="12"/>
      <c r="D144" s="12"/>
      <c r="E144" s="12"/>
      <c r="F144" s="12"/>
      <c r="G144" s="12"/>
      <c r="I144" s="10"/>
    </row>
    <row r="145" spans="1:9" x14ac:dyDescent="0.2">
      <c r="A145" s="12"/>
      <c r="B145" s="16"/>
      <c r="C145" s="12"/>
      <c r="D145" s="12"/>
      <c r="E145" s="12"/>
      <c r="F145" s="12"/>
      <c r="G145" s="12"/>
      <c r="I145" s="10"/>
    </row>
    <row r="146" spans="1:9" x14ac:dyDescent="0.2">
      <c r="A146" s="12"/>
      <c r="B146" s="16"/>
      <c r="C146" s="12"/>
      <c r="D146" s="12"/>
      <c r="E146" s="12"/>
      <c r="F146" s="12"/>
      <c r="G146" s="12"/>
      <c r="I146" s="10"/>
    </row>
    <row r="147" spans="1:9" x14ac:dyDescent="0.2">
      <c r="A147" s="12"/>
      <c r="B147" s="16"/>
      <c r="C147" s="12"/>
      <c r="D147" s="12"/>
      <c r="E147" s="12"/>
      <c r="F147" s="12"/>
      <c r="G147" s="12"/>
      <c r="I147" s="10"/>
    </row>
    <row r="148" spans="1:9" x14ac:dyDescent="0.2">
      <c r="A148" s="12"/>
      <c r="B148" s="16"/>
      <c r="C148" s="12"/>
      <c r="D148" s="12"/>
      <c r="E148" s="12"/>
      <c r="F148" s="12"/>
      <c r="G148" s="12"/>
      <c r="I148" s="10"/>
    </row>
    <row r="149" spans="1:9" x14ac:dyDescent="0.2">
      <c r="A149" s="12"/>
      <c r="B149" s="16"/>
      <c r="C149" s="12"/>
      <c r="D149" s="12"/>
      <c r="E149" s="12"/>
      <c r="F149" s="12"/>
      <c r="G149" s="12"/>
      <c r="I149" s="10"/>
    </row>
    <row r="150" spans="1:9" x14ac:dyDescent="0.2">
      <c r="A150" s="12"/>
      <c r="B150" s="16"/>
      <c r="C150" s="12"/>
      <c r="D150" s="12"/>
      <c r="E150" s="12"/>
      <c r="F150" s="12"/>
      <c r="G150" s="12"/>
      <c r="I150" s="10"/>
    </row>
    <row r="151" spans="1:9" x14ac:dyDescent="0.2">
      <c r="A151" s="12"/>
      <c r="B151" s="16"/>
      <c r="C151" s="12"/>
      <c r="D151" s="12"/>
      <c r="E151" s="12"/>
      <c r="F151" s="12"/>
      <c r="G151" s="12"/>
    </row>
    <row r="152" spans="1:9" x14ac:dyDescent="0.2">
      <c r="A152" s="12"/>
      <c r="B152" s="16"/>
      <c r="C152" s="12"/>
      <c r="D152" s="12"/>
      <c r="E152" s="12"/>
      <c r="F152" s="12"/>
      <c r="G152" s="12"/>
    </row>
    <row r="153" spans="1:9" x14ac:dyDescent="0.2">
      <c r="A153" s="12"/>
      <c r="B153" s="16"/>
      <c r="C153" s="12"/>
      <c r="D153" s="12"/>
      <c r="E153" s="12"/>
      <c r="F153" s="12"/>
      <c r="G153" s="12"/>
    </row>
    <row r="154" spans="1:9" x14ac:dyDescent="0.2">
      <c r="A154" s="12"/>
      <c r="B154" s="16"/>
      <c r="C154" s="12"/>
      <c r="D154" s="12"/>
      <c r="E154" s="12"/>
      <c r="F154" s="12"/>
      <c r="G154" s="12"/>
    </row>
    <row r="155" spans="1:9" x14ac:dyDescent="0.2">
      <c r="A155" s="12"/>
      <c r="B155" s="16"/>
      <c r="C155" s="12"/>
      <c r="D155" s="12"/>
      <c r="F155" s="12"/>
      <c r="G155" s="12"/>
    </row>
  </sheetData>
  <mergeCells count="3">
    <mergeCell ref="C1:G1"/>
    <mergeCell ref="C2:G3"/>
    <mergeCell ref="V4:W9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B2BE9-B6E7-D541-9FF5-36BEBFCB2074}">
  <dimension ref="A2:S22"/>
  <sheetViews>
    <sheetView workbookViewId="0">
      <selection activeCell="A6" sqref="A6:C12"/>
    </sheetView>
  </sheetViews>
  <sheetFormatPr baseColWidth="10" defaultColWidth="11" defaultRowHeight="16" x14ac:dyDescent="0.2"/>
  <cols>
    <col min="1" max="1" width="18" customWidth="1"/>
    <col min="2" max="2" width="14.6640625" customWidth="1"/>
    <col min="3" max="3" width="17.6640625" customWidth="1"/>
    <col min="5" max="5" width="13.6640625" customWidth="1"/>
    <col min="7" max="7" width="15.5" bestFit="1" customWidth="1"/>
    <col min="8" max="8" width="13" bestFit="1" customWidth="1"/>
    <col min="11" max="11" width="21.33203125" bestFit="1" customWidth="1"/>
    <col min="12" max="12" width="18.1640625" bestFit="1" customWidth="1"/>
    <col min="13" max="13" width="21.6640625" style="2" bestFit="1" customWidth="1"/>
    <col min="14" max="14" width="18.6640625" bestFit="1" customWidth="1"/>
    <col min="15" max="15" width="21.6640625" bestFit="1" customWidth="1"/>
    <col min="16" max="16" width="12.83203125" bestFit="1" customWidth="1"/>
    <col min="17" max="17" width="6.1640625" bestFit="1" customWidth="1"/>
    <col min="18" max="18" width="18.6640625" bestFit="1" customWidth="1"/>
    <col min="19" max="19" width="4.6640625" bestFit="1" customWidth="1"/>
    <col min="20" max="20" width="6.1640625" bestFit="1" customWidth="1"/>
    <col min="21" max="21" width="25.83203125" bestFit="1" customWidth="1"/>
    <col min="22" max="22" width="29.33203125" bestFit="1" customWidth="1"/>
    <col min="23" max="23" width="26.33203125" bestFit="1" customWidth="1"/>
    <col min="24" max="24" width="8.1640625" bestFit="1" customWidth="1"/>
    <col min="25" max="25" width="10.6640625" bestFit="1" customWidth="1"/>
    <col min="26" max="26" width="8.1640625" bestFit="1" customWidth="1"/>
    <col min="27" max="27" width="13.6640625" bestFit="1" customWidth="1"/>
    <col min="28" max="28" width="7.1640625" bestFit="1" customWidth="1"/>
    <col min="29" max="29" width="10.6640625" bestFit="1" customWidth="1"/>
    <col min="30" max="30" width="15" bestFit="1" customWidth="1"/>
  </cols>
  <sheetData>
    <row r="2" spans="1:19" ht="24" x14ac:dyDescent="0.3">
      <c r="A2" s="168" t="s">
        <v>115</v>
      </c>
      <c r="B2" s="168"/>
      <c r="C2" s="168"/>
      <c r="D2" s="169" t="s">
        <v>116</v>
      </c>
      <c r="E2" s="169"/>
      <c r="F2" s="169"/>
      <c r="G2" s="169"/>
      <c r="H2" s="169"/>
    </row>
    <row r="3" spans="1:19" x14ac:dyDescent="0.2">
      <c r="A3" s="95" t="s">
        <v>117</v>
      </c>
      <c r="B3" s="95"/>
      <c r="C3" s="95"/>
      <c r="D3" s="95"/>
      <c r="E3" s="95"/>
      <c r="F3" s="95"/>
      <c r="G3" s="95"/>
      <c r="H3" s="95"/>
    </row>
    <row r="4" spans="1:19" x14ac:dyDescent="0.2">
      <c r="A4" s="95"/>
      <c r="B4" s="95"/>
      <c r="C4" s="95"/>
      <c r="D4" s="95"/>
      <c r="E4" s="95"/>
      <c r="F4" s="95"/>
      <c r="G4" s="95"/>
      <c r="H4" s="95"/>
    </row>
    <row r="5" spans="1:19" ht="16" customHeight="1" x14ac:dyDescent="0.2">
      <c r="A5" s="13" t="s">
        <v>118</v>
      </c>
      <c r="B5" s="13" t="s">
        <v>119</v>
      </c>
      <c r="C5" s="13" t="s">
        <v>120</v>
      </c>
      <c r="D5" s="7" t="s">
        <v>121</v>
      </c>
      <c r="E5" s="7" t="s">
        <v>122</v>
      </c>
      <c r="F5" s="7" t="s">
        <v>123</v>
      </c>
      <c r="G5" s="7" t="s">
        <v>87</v>
      </c>
      <c r="H5" s="7" t="s">
        <v>19</v>
      </c>
      <c r="I5" s="7" t="s">
        <v>124</v>
      </c>
      <c r="K5" s="4" t="s">
        <v>111</v>
      </c>
      <c r="L5" t="s">
        <v>125</v>
      </c>
      <c r="M5" t="s">
        <v>126</v>
      </c>
      <c r="N5" t="s">
        <v>127</v>
      </c>
    </row>
    <row r="6" spans="1:19" x14ac:dyDescent="0.2">
      <c r="A6" s="86"/>
      <c r="B6" s="87"/>
      <c r="C6" s="87"/>
      <c r="D6" s="6" t="e">
        <f>VLOOKUP(C6,Projektkonfiguration!$A$10:$B$14,2,FALSE)</f>
        <v>#N/A</v>
      </c>
      <c r="E6" s="8" t="str">
        <f>IFERROR(GETPIVOTDATA("Dauer",'Heimat Input'!$V$12,"Vorgang",A6),"n.a.")</f>
        <v>n.a.</v>
      </c>
      <c r="F6" s="8">
        <f>C6*Details!$O$5</f>
        <v>0</v>
      </c>
      <c r="G6" s="8" t="str">
        <f t="shared" ref="G6:G12" si="0">IFERROR((F6-E6)*-1,"n.a.")</f>
        <v>n.a.</v>
      </c>
      <c r="H6" s="11" t="str">
        <f t="shared" ref="H6:H12" si="1">IFERROR(G6/F6,"n.a.")</f>
        <v>n.a.</v>
      </c>
      <c r="I6" s="6" t="str">
        <f>IF(E6="n.a.","ja","nein")</f>
        <v>ja</v>
      </c>
      <c r="K6" s="5" t="s">
        <v>113</v>
      </c>
      <c r="L6" s="170"/>
      <c r="M6" s="170"/>
      <c r="N6" s="170"/>
      <c r="P6" s="94" t="s">
        <v>128</v>
      </c>
      <c r="Q6" s="94"/>
      <c r="R6" s="94"/>
      <c r="S6" s="94"/>
    </row>
    <row r="7" spans="1:19" x14ac:dyDescent="0.2">
      <c r="A7" s="86"/>
      <c r="B7" s="87"/>
      <c r="C7" s="87"/>
      <c r="D7" s="6" t="e">
        <f>VLOOKUP(C7,Projektkonfiguration!$A$10:$B$14,2,FALSE)</f>
        <v>#N/A</v>
      </c>
      <c r="E7" s="8" t="str">
        <f>IFERROR(GETPIVOTDATA("Dauer",'Heimat Input'!$V$12,"Vorgang",A7),"n.a.")</f>
        <v>n.a.</v>
      </c>
      <c r="F7" s="8">
        <f>C7*Details!$O$5</f>
        <v>0</v>
      </c>
      <c r="G7" s="8" t="str">
        <f t="shared" si="0"/>
        <v>n.a.</v>
      </c>
      <c r="H7" s="11" t="str">
        <f t="shared" si="1"/>
        <v>n.a.</v>
      </c>
      <c r="I7" s="6" t="str">
        <f t="shared" ref="I7:I12" si="2">IF(E7="n.a.","ja","nein")</f>
        <v>ja</v>
      </c>
      <c r="K7" s="35" t="s">
        <v>113</v>
      </c>
      <c r="L7" s="170"/>
      <c r="M7" s="170"/>
      <c r="N7" s="170"/>
      <c r="P7" s="94"/>
      <c r="Q7" s="94"/>
      <c r="R7" s="94"/>
      <c r="S7" s="94"/>
    </row>
    <row r="8" spans="1:19" x14ac:dyDescent="0.2">
      <c r="A8" s="86"/>
      <c r="B8" s="87"/>
      <c r="C8" s="87"/>
      <c r="D8" s="6" t="e">
        <f>VLOOKUP(C8,Projektkonfiguration!$A$10:$B$14,2,FALSE)</f>
        <v>#N/A</v>
      </c>
      <c r="E8" s="8" t="str">
        <f>IFERROR(GETPIVOTDATA("Dauer",'Heimat Input'!$V$12,"Vorgang",A8),"n.a.")</f>
        <v>n.a.</v>
      </c>
      <c r="F8" s="8">
        <f>C8*Details!$O$5</f>
        <v>0</v>
      </c>
      <c r="G8" s="8" t="str">
        <f t="shared" si="0"/>
        <v>n.a.</v>
      </c>
      <c r="H8" s="11" t="str">
        <f t="shared" si="1"/>
        <v>n.a.</v>
      </c>
      <c r="I8" s="6" t="str">
        <f t="shared" si="2"/>
        <v>ja</v>
      </c>
      <c r="K8" s="5" t="s">
        <v>132</v>
      </c>
      <c r="L8" s="170">
        <v>0</v>
      </c>
      <c r="M8" s="170" t="e">
        <v>#DIV/0!</v>
      </c>
      <c r="N8" s="170" t="e">
        <v>#N/A</v>
      </c>
      <c r="P8" s="94"/>
      <c r="Q8" s="94"/>
      <c r="R8" s="94"/>
      <c r="S8" s="94"/>
    </row>
    <row r="9" spans="1:19" x14ac:dyDescent="0.2">
      <c r="A9" s="86"/>
      <c r="B9" s="87"/>
      <c r="C9" s="87"/>
      <c r="D9" s="6" t="e">
        <f>VLOOKUP(C9,Projektkonfiguration!$A$10:$B$14,2,FALSE)</f>
        <v>#N/A</v>
      </c>
      <c r="E9" s="8" t="str">
        <f>IFERROR(GETPIVOTDATA("Dauer",'Heimat Input'!$V$12,"Vorgang",A9),"n.a.")</f>
        <v>n.a.</v>
      </c>
      <c r="F9" s="8">
        <f>C9*Details!$O$5</f>
        <v>0</v>
      </c>
      <c r="G9" s="8" t="str">
        <f t="shared" si="0"/>
        <v>n.a.</v>
      </c>
      <c r="H9" s="11" t="str">
        <f t="shared" si="1"/>
        <v>n.a.</v>
      </c>
      <c r="I9" s="6" t="str">
        <f t="shared" si="2"/>
        <v>ja</v>
      </c>
      <c r="K9" s="35" t="s">
        <v>129</v>
      </c>
      <c r="L9" s="170">
        <v>0</v>
      </c>
      <c r="M9" s="170" t="e">
        <v>#DIV/0!</v>
      </c>
      <c r="N9" s="170">
        <v>7</v>
      </c>
      <c r="P9" s="94"/>
      <c r="Q9" s="94"/>
      <c r="R9" s="94"/>
      <c r="S9" s="94"/>
    </row>
    <row r="10" spans="1:19" x14ac:dyDescent="0.2">
      <c r="A10" s="86"/>
      <c r="B10" s="87"/>
      <c r="C10" s="87"/>
      <c r="D10" s="6" t="e">
        <f>VLOOKUP(C10,Projektkonfiguration!$A$10:$B$14,2,FALSE)</f>
        <v>#N/A</v>
      </c>
      <c r="E10" s="8" t="str">
        <f>IFERROR(GETPIVOTDATA("Dauer",'Heimat Input'!$V$12,"Vorgang",A10),"n.a.")</f>
        <v>n.a.</v>
      </c>
      <c r="F10" s="8">
        <f>C10*Details!$O$5</f>
        <v>0</v>
      </c>
      <c r="G10" s="8" t="str">
        <f t="shared" si="0"/>
        <v>n.a.</v>
      </c>
      <c r="H10" s="11" t="str">
        <f t="shared" si="1"/>
        <v>n.a.</v>
      </c>
      <c r="I10" s="6" t="str">
        <f t="shared" si="2"/>
        <v>ja</v>
      </c>
      <c r="K10" s="5" t="s">
        <v>114</v>
      </c>
      <c r="L10" s="170">
        <v>0</v>
      </c>
      <c r="M10" s="170" t="e">
        <v>#DIV/0!</v>
      </c>
      <c r="N10" s="170" t="e">
        <v>#N/A</v>
      </c>
      <c r="P10" s="94"/>
      <c r="Q10" s="94"/>
      <c r="R10" s="94"/>
      <c r="S10" s="94"/>
    </row>
    <row r="11" spans="1:19" x14ac:dyDescent="0.2">
      <c r="A11" s="86"/>
      <c r="B11" s="87"/>
      <c r="C11" s="87"/>
      <c r="D11" s="6" t="e">
        <f>VLOOKUP(C11,Projektkonfiguration!$A$10:$B$14,2,FALSE)</f>
        <v>#N/A</v>
      </c>
      <c r="E11" s="8" t="str">
        <f>IFERROR(GETPIVOTDATA("Dauer",'Heimat Input'!$V$12,"Vorgang",A11),"n.a.")</f>
        <v>n.a.</v>
      </c>
      <c r="F11" s="8">
        <f>C11*Details!$O$5</f>
        <v>0</v>
      </c>
      <c r="G11" s="8" t="str">
        <f t="shared" si="0"/>
        <v>n.a.</v>
      </c>
      <c r="H11" s="11" t="str">
        <f t="shared" si="1"/>
        <v>n.a.</v>
      </c>
      <c r="I11" s="6" t="str">
        <f t="shared" si="2"/>
        <v>ja</v>
      </c>
      <c r="M11"/>
      <c r="P11" s="94"/>
      <c r="Q11" s="94"/>
      <c r="R11" s="94"/>
      <c r="S11" s="94"/>
    </row>
    <row r="12" spans="1:19" x14ac:dyDescent="0.2">
      <c r="A12" s="86"/>
      <c r="B12" s="87"/>
      <c r="C12" s="87"/>
      <c r="D12" s="6" t="e">
        <f>VLOOKUP(C12,Projektkonfiguration!$A$10:$B$14,2,FALSE)</f>
        <v>#N/A</v>
      </c>
      <c r="E12" s="8" t="str">
        <f>IFERROR(GETPIVOTDATA("Dauer",'Heimat Input'!$V$12,"Vorgang",A12),"n.a.")</f>
        <v>n.a.</v>
      </c>
      <c r="F12" s="8">
        <f>C12*Details!$O$5</f>
        <v>0</v>
      </c>
      <c r="G12" s="8" t="str">
        <f t="shared" si="0"/>
        <v>n.a.</v>
      </c>
      <c r="H12" s="11" t="str">
        <f t="shared" si="1"/>
        <v>n.a.</v>
      </c>
      <c r="I12" s="6" t="str">
        <f t="shared" si="2"/>
        <v>ja</v>
      </c>
      <c r="M12"/>
    </row>
    <row r="13" spans="1:19" x14ac:dyDescent="0.2">
      <c r="C13" s="87"/>
      <c r="D13" s="6"/>
      <c r="E13" s="8"/>
      <c r="F13" s="8"/>
      <c r="G13" s="8"/>
      <c r="H13" s="11"/>
      <c r="I13" s="6"/>
      <c r="M13"/>
    </row>
    <row r="14" spans="1:19" x14ac:dyDescent="0.2">
      <c r="E14" s="10"/>
      <c r="F14" s="10"/>
      <c r="G14" s="10"/>
      <c r="H14" s="88"/>
      <c r="M14"/>
    </row>
    <row r="15" spans="1:19" x14ac:dyDescent="0.2">
      <c r="E15" s="10"/>
      <c r="F15" s="10"/>
      <c r="G15" s="10"/>
      <c r="H15" s="88"/>
      <c r="M15"/>
    </row>
    <row r="16" spans="1:19" x14ac:dyDescent="0.2">
      <c r="E16" s="10"/>
      <c r="F16" s="10"/>
      <c r="G16" s="10"/>
      <c r="H16" s="88"/>
      <c r="M16"/>
    </row>
    <row r="17" spans="5:13" x14ac:dyDescent="0.2">
      <c r="E17" s="10"/>
      <c r="F17" s="10"/>
      <c r="G17" s="10"/>
      <c r="H17" s="88"/>
      <c r="M17"/>
    </row>
    <row r="18" spans="5:13" x14ac:dyDescent="0.2">
      <c r="E18" s="10"/>
      <c r="F18" s="10"/>
      <c r="G18" s="10"/>
      <c r="H18" s="88"/>
      <c r="M18"/>
    </row>
    <row r="19" spans="5:13" x14ac:dyDescent="0.2">
      <c r="E19" s="10"/>
      <c r="F19" s="10"/>
      <c r="G19" s="10"/>
      <c r="H19" s="88"/>
      <c r="M19"/>
    </row>
    <row r="20" spans="5:13" x14ac:dyDescent="0.2">
      <c r="E20" s="10"/>
      <c r="F20" s="10"/>
      <c r="G20" s="10"/>
      <c r="H20" s="88"/>
      <c r="M20"/>
    </row>
    <row r="21" spans="5:13" x14ac:dyDescent="0.2">
      <c r="E21" s="10"/>
      <c r="F21" s="10"/>
      <c r="G21" s="10"/>
      <c r="H21" s="88"/>
      <c r="M21"/>
    </row>
    <row r="22" spans="5:13" x14ac:dyDescent="0.2">
      <c r="E22" s="10"/>
      <c r="F22" s="10"/>
      <c r="G22" s="10"/>
      <c r="H22" s="88"/>
    </row>
  </sheetData>
  <autoFilter ref="A5:I5" xr:uid="{8D8B2BE9-B6E7-D541-9FF5-36BEBFCB2074}"/>
  <mergeCells count="4">
    <mergeCell ref="A2:C2"/>
    <mergeCell ref="D2:H2"/>
    <mergeCell ref="A3:H4"/>
    <mergeCell ref="P6:S11"/>
  </mergeCells>
  <conditionalFormatting sqref="G6:G104857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Readme</vt:lpstr>
      <vt:lpstr>Dashboard</vt:lpstr>
      <vt:lpstr>Projektkonfiguration</vt:lpstr>
      <vt:lpstr>Details</vt:lpstr>
      <vt:lpstr>Heimat Input</vt:lpstr>
      <vt:lpstr>Jira Input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Reimann</dc:creator>
  <cp:keywords/>
  <dc:description/>
  <cp:lastModifiedBy>Simon Reimann</cp:lastModifiedBy>
  <cp:revision/>
  <dcterms:created xsi:type="dcterms:W3CDTF">2026-01-12T10:26:04Z</dcterms:created>
  <dcterms:modified xsi:type="dcterms:W3CDTF">2026-02-17T12:11:13Z</dcterms:modified>
  <cp:category/>
  <cp:contentStatus/>
</cp:coreProperties>
</file>